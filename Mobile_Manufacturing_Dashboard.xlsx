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56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Production Analysis" sheetId="4" state="visible" r:id="rId4"/>
    <sheet xmlns:r="http://schemas.openxmlformats.org/officeDocument/2006/relationships" name="Sales Analysis" sheetId="5" state="visible" r:id="rId5"/>
    <sheet xmlns:r="http://schemas.openxmlformats.org/officeDocument/2006/relationships" name="Revenue Analysis" sheetId="6" state="visible" r:id="rId6"/>
    <sheet xmlns:r="http://schemas.openxmlformats.org/officeDocument/2006/relationships" name="Inventory Analysis" sheetId="7" state="visible" r:id="rId7"/>
    <sheet xmlns:r="http://schemas.openxmlformats.org/officeDocument/2006/relationships" name="Monthly Trend Analysis" sheetId="8" state="visible" r:id="rId8"/>
  </sheets>
  <definedNames/>
  <calcPr calcId="191029" fullCalcOnLoad="1"/>
  <pivotCaches>
    <pivotCache xmlns:r="http://schemas.openxmlformats.org/officeDocument/2006/relationships" cacheId="0" r:id="rId9"/>
  </pivotCaches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8"/>
      <scheme val="minor"/>
    </font>
    <font>
      <name val="Arial"/>
      <b val="1"/>
      <color rgb="00FFFFFF"/>
      <sz val="20"/>
    </font>
    <font>
      <name val="Arial"/>
      <i val="1"/>
      <color rgb="001F4E78"/>
      <sz val="10"/>
    </font>
    <font>
      <name val="Arial"/>
      <b val="1"/>
      <color rgb="00FFFFFF"/>
      <sz val="9"/>
    </font>
    <font>
      <name val="Arial"/>
      <b val="1"/>
      <color rgb="00FFFFFF"/>
      <sz val="18"/>
    </font>
    <font>
      <name val="Arial"/>
      <b val="1"/>
      <color rgb="001F4E78"/>
      <sz val="8.5"/>
    </font>
    <font>
      <name val="Arial"/>
      <b val="1"/>
      <color rgb="001F4E78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333333"/>
      <sz val="10"/>
    </font>
    <font>
      <name val="Arial"/>
      <i val="1"/>
      <color rgb="00808080"/>
      <sz val="8"/>
    </font>
  </fonts>
  <fills count="27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D231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D5B"/>
      </patternFill>
    </fill>
    <fill>
      <patternFill patternType="solid">
        <fgColor rgb="00B7590C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1B7A8C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2E5F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0" pivotButton="1" quotePrefix="0" xfId="0"/>
    <xf numFmtId="0" fontId="0" fillId="0" borderId="0" pivotButton="0" quotePrefix="0" xfId="0"/>
    <xf numFmtId="0" fontId="2" fillId="0" borderId="0" pivotButton="0" quotePrefix="0" xfId="0"/>
    <xf numFmtId="0" fontId="2" fillId="8" borderId="0" pivotButton="0" quotePrefix="0" xfId="0"/>
    <xf numFmtId="0" fontId="4" fillId="8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4" fillId="9" borderId="0" applyAlignment="1" pivotButton="0" quotePrefix="0" xfId="0">
      <alignment horizontal="center" vertical="top"/>
    </xf>
    <xf numFmtId="0" fontId="4" fillId="7" borderId="0" applyAlignment="1" pivotButton="0" quotePrefix="0" xfId="0">
      <alignment horizontal="center" vertical="top"/>
    </xf>
    <xf numFmtId="0" fontId="4" fillId="1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indent="1"/>
    </xf>
    <xf numFmtId="0" fontId="4" fillId="8" borderId="0" pivotButton="0" quotePrefix="0" xfId="0"/>
    <xf numFmtId="0" fontId="4" fillId="8" borderId="0" applyAlignment="1" pivotButton="0" quotePrefix="0" xfId="0">
      <alignment horizontal="left" vertical="top"/>
    </xf>
    <xf numFmtId="0" fontId="1" fillId="8" borderId="0" pivotButton="0" quotePrefix="0" xfId="0"/>
    <xf numFmtId="0" fontId="0" fillId="0" borderId="0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4" fillId="8" borderId="0" applyAlignment="1" pivotButton="0" quotePrefix="0" xfId="0">
      <alignment vertical="center"/>
    </xf>
    <xf numFmtId="0" fontId="2" fillId="7" borderId="0" applyAlignment="1" pivotButton="0" quotePrefix="0" xfId="0">
      <alignment horizontal="left" indent="1"/>
    </xf>
    <xf numFmtId="0" fontId="0" fillId="7" borderId="0" applyAlignment="1" pivotButton="0" quotePrefix="0" xfId="0">
      <alignment horizontal="left" indent="1"/>
    </xf>
    <xf numFmtId="0" fontId="4" fillId="8" borderId="0" pivotButton="0" quotePrefix="0" xfId="0"/>
    <xf numFmtId="0" fontId="5" fillId="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top"/>
    </xf>
    <xf numFmtId="0" fontId="6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10" fontId="4" fillId="13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8" fillId="17" borderId="0" applyAlignment="1" pivotButton="0" quotePrefix="0" xfId="0">
      <alignment horizontal="center" vertical="center" wrapText="1"/>
    </xf>
    <xf numFmtId="0" fontId="9" fillId="18" borderId="0" applyAlignment="1" pivotButton="0" quotePrefix="0" xfId="0">
      <alignment horizontal="center" vertical="center" wrapText="1"/>
    </xf>
    <xf numFmtId="0" fontId="10" fillId="17" borderId="0" applyAlignment="1" pivotButton="0" quotePrefix="0" xfId="0">
      <alignment horizontal="center" vertical="center" wrapText="1"/>
    </xf>
    <xf numFmtId="0" fontId="10" fillId="19" borderId="0" applyAlignment="1" pivotButton="0" quotePrefix="0" xfId="0">
      <alignment horizontal="center" vertical="center" wrapText="1"/>
    </xf>
    <xf numFmtId="0" fontId="10" fillId="20" borderId="0" applyAlignment="1" pivotButton="0" quotePrefix="0" xfId="0">
      <alignment horizontal="center" vertical="center" wrapText="1"/>
    </xf>
    <xf numFmtId="0" fontId="10" fillId="21" borderId="0" applyAlignment="1" pivotButton="0" quotePrefix="0" xfId="0">
      <alignment horizontal="center" vertical="center" wrapText="1"/>
    </xf>
    <xf numFmtId="0" fontId="10" fillId="22" borderId="0" applyAlignment="1" pivotButton="0" quotePrefix="0" xfId="0">
      <alignment horizontal="center" vertical="center" wrapText="1"/>
    </xf>
    <xf numFmtId="0" fontId="10" fillId="23" borderId="0" applyAlignment="1" pivotButton="0" quotePrefix="0" xfId="0">
      <alignment horizontal="center" vertical="center" wrapText="1"/>
    </xf>
    <xf numFmtId="3" fontId="11" fillId="17" borderId="0" applyAlignment="1" pivotButton="0" quotePrefix="0" xfId="0">
      <alignment horizontal="center" vertical="center" wrapText="1"/>
    </xf>
    <xf numFmtId="3" fontId="11" fillId="19" borderId="0" applyAlignment="1" pivotButton="0" quotePrefix="0" xfId="0">
      <alignment horizontal="center" vertical="center" wrapText="1"/>
    </xf>
    <xf numFmtId="3" fontId="11" fillId="20" borderId="0" applyAlignment="1" pivotButton="0" quotePrefix="0" xfId="0">
      <alignment horizontal="center" vertical="center" wrapText="1"/>
    </xf>
    <xf numFmtId="3" fontId="11" fillId="21" borderId="0" applyAlignment="1" pivotButton="0" quotePrefix="0" xfId="0">
      <alignment horizontal="center" vertical="center" wrapText="1"/>
    </xf>
    <xf numFmtId="164" fontId="11" fillId="22" borderId="0" applyAlignment="1" pivotButton="0" quotePrefix="0" xfId="0">
      <alignment horizontal="center" vertical="center" wrapText="1"/>
    </xf>
    <xf numFmtId="1" fontId="11" fillId="23" borderId="0" applyAlignment="1" pivotButton="0" quotePrefix="0" xfId="0">
      <alignment horizontal="center" vertical="center" wrapText="1"/>
    </xf>
    <xf numFmtId="0" fontId="12" fillId="2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13" fillId="25" borderId="1" applyAlignment="1" pivotButton="0" quotePrefix="0" xfId="0">
      <alignment horizontal="center" vertical="center" wrapText="1"/>
    </xf>
    <xf numFmtId="0" fontId="14" fillId="26" borderId="0" applyAlignment="1" pivotButton="0" quotePrefix="0" xfId="0">
      <alignment horizontal="left" vertical="center" indent="1"/>
    </xf>
    <xf numFmtId="0" fontId="15" fillId="26" borderId="1" applyAlignment="1" pivotButton="0" quotePrefix="0" xfId="0">
      <alignment horizontal="center" vertical="center" wrapText="1"/>
    </xf>
    <xf numFmtId="0" fontId="16" fillId="25" borderId="1" applyAlignment="1" pivotButton="0" quotePrefix="0" xfId="0">
      <alignment horizontal="left" vertical="center"/>
    </xf>
    <xf numFmtId="3" fontId="16" fillId="25" borderId="1" applyAlignment="1" pivotButton="0" quotePrefix="0" xfId="0">
      <alignment horizontal="right" vertical="center"/>
    </xf>
    <xf numFmtId="0" fontId="16" fillId="18" borderId="1" applyAlignment="1" pivotButton="0" quotePrefix="0" xfId="0">
      <alignment horizontal="left" vertical="center"/>
    </xf>
    <xf numFmtId="3" fontId="16" fillId="18" borderId="1" applyAlignment="1" pivotButton="0" quotePrefix="0" xfId="0">
      <alignment horizontal="right" vertical="center"/>
    </xf>
    <xf numFmtId="0" fontId="15" fillId="26" borderId="1" applyAlignment="1" pivotButton="0" quotePrefix="0" xfId="0">
      <alignment horizontal="left" vertical="center"/>
    </xf>
    <xf numFmtId="3" fontId="15" fillId="26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wrapText="1"/>
    </xf>
    <xf numFmtId="3" fontId="0" fillId="0" borderId="0" pivotButton="0" quotePrefix="0" xfId="0"/>
    <xf numFmtId="0" fontId="16" fillId="18" borderId="0" applyAlignment="1" pivotButton="0" quotePrefix="0" xfId="0">
      <alignment horizontal="left" vertical="center" wrapText="1" indent="1"/>
    </xf>
    <xf numFmtId="0" fontId="16" fillId="25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left"/>
    </xf>
  </cellXfs>
  <cellStyles count="1">
    <cellStyle name="Normal" xfId="0" builtinId="0"/>
  </cellStyles>
  <dxfs count="17">
    <dxf>
      <alignment wrapText="1"/>
    </dxf>
    <dxf>
      <alignment wrapText="1"/>
    </dxf>
    <dxf>
      <alignment wrapText="1"/>
    </dxf>
    <dxf>
      <numFmt numFmtId="2" formatCode="0.00"/>
      <alignment horizontal="right" vertical="bottom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top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pivotCacheDefinition" Target="/xl/pivotCache/pivotCacheDefinition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Brand-wise Production vs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'Dashboard'!$B$14:$B$18</f>
            </numRef>
          </cat>
          <val>
            <numRef>
              <f>'Dashboard'!$C$14:$C$18</f>
            </numRef>
          </val>
        </ser>
        <ser>
          <idx val="1"/>
          <order val="1"/>
          <tx>
            <strRef>
              <f>'Dashboard'!D13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'Dashboard'!$B$14:$B$18</f>
            </numRef>
          </cat>
          <val>
            <numRef>
              <f>'Dashboard'!$D$14:$D$18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Brand (Lakhs)</a:t>
            </a:r>
          </a:p>
        </rich>
      </tx>
    </title>
    <plotArea>
      <pieChart>
        <varyColors val="1"/>
        <ser>
          <idx val="0"/>
          <order val="0"/>
          <tx>
            <strRef>
              <f>'Dashboard'!E13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'Dashboard'!$B$14:$B$18</f>
            </numRef>
          </cat>
          <val>
            <numRef>
              <f>'Dashboard'!$E$14:$E$18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by Plant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'Dashboard'!$B$23:$B$28</f>
            </numRef>
          </cat>
          <val>
            <numRef>
              <f>'Dashboard'!$C$23:$C$28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Sales — Top to Bottom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'Dashboard'!D32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'Dashboard'!$B$33:$B$47</f>
            </numRef>
          </cat>
          <val>
            <numRef>
              <f>'Dashboard'!$D$33:$D$47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Trend — Production, Sales,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'Dashboard'!C51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'Dashboard'!$B$52:$B$63</f>
            </numRef>
          </cat>
          <val>
            <numRef>
              <f>'Dashboard'!$C$52:$C$63</f>
            </numRef>
          </val>
          <smooth val="0"/>
        </ser>
        <ser>
          <idx val="1"/>
          <order val="1"/>
          <tx>
            <strRef>
              <f>'Dashboard'!D51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'Dashboard'!$B$52:$B$63</f>
            </numRef>
          </cat>
          <val>
            <numRef>
              <f>'Dashboard'!$D$52:$D$63</f>
            </numRef>
          </val>
          <smooth val="0"/>
        </ser>
        <ser>
          <idx val="2"/>
          <order val="2"/>
          <tx>
            <strRef>
              <f>'Dashboard'!E51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'Dashboard'!$B$52:$B$63</f>
            </numRef>
          </cat>
          <val>
            <numRef>
              <f>'Dashboard'!$E$52:$E$63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Inventory: Sold vs Unsold</a:t>
            </a:r>
          </a:p>
        </rich>
      </tx>
    </title>
    <plotArea>
      <pieChart>
        <varyColors val="1"/>
        <ser>
          <idx val="0"/>
          <order val="0"/>
          <tx>
            <strRef>
              <f>'Dashboard'!C67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'Dashboard'!$B$68:$B$69</f>
            </numRef>
          </cat>
          <val>
            <numRef>
              <f>'Dashboard'!$C$68:$C$69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pivotSource>
    <name>[Mobile_Manufacturing_Raw_Data_Dirty_300Rows.xlsx]Production Analysis!PivotTable1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800" b="0" i="0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1172475940507437"/>
          <y val="0.2493959609215515"/>
          <w val="0.7357893700787401"/>
          <h val="0.5377438757655293"/>
        </manualLayout>
      </layout>
      <barChart>
        <barDir val="col"/>
        <grouping val="clustered"/>
        <varyColors val="0"/>
        <ser>
          <idx val="0"/>
          <order val="0"/>
          <tx>
            <strRef>
              <f>'Production Analysis'!$B$8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'Production Analysis'!$A$9:$A$14</f>
              <strCache>
                <ptCount val="5"/>
                <pt idx="0">
                  <v>Apple</v>
                </pt>
                <pt idx="1">
                  <v>Oneplus</v>
                </pt>
                <pt idx="2">
                  <v>Samsung</v>
                </pt>
                <pt idx="3">
                  <v>Vivo</v>
                </pt>
                <pt idx="4">
                  <v>Xiaomi</v>
                </pt>
              </strCache>
            </strRef>
          </cat>
          <val>
            <numRef>
              <f>'Production Analysis'!$B$9:$B$14</f>
              <numCache>
                <formatCode>General</formatCode>
                <ptCount val="5"/>
                <pt idx="0">
                  <v>162257</v>
                </pt>
                <pt idx="1">
                  <v>167240</v>
                </pt>
                <pt idx="2">
                  <v>167106</v>
                </pt>
                <pt idx="3">
                  <v>171213</v>
                </pt>
                <pt idx="4">
                  <v>144227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444"/>
        <overlap val="-90"/>
        <axId val="402834848"/>
        <axId val="402831968"/>
      </barChart>
      <catAx>
        <axId val="4028348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02831968"/>
        <crosses val="autoZero"/>
        <auto val="1"/>
        <lblAlgn val="ctr"/>
        <lblOffset val="100"/>
        <noMultiLvlLbl val="0"/>
      </catAx>
      <valAx>
        <axId val="402831968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40283484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[Mobile_Manufacturing_Raw_Data_Dirty_300Rows.xlsx]Production Analysis!PivotTable2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'Production Analysis'!$E$8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'Production Analysis'!$D$9:$D$15</f>
              <strCache>
                <ptCount val="6"/>
                <pt idx="0">
                  <v>Bengaluru Plant</v>
                </pt>
                <pt idx="1">
                  <v>Chennai Plant</v>
                </pt>
                <pt idx="2">
                  <v>Noida Plant</v>
                </pt>
                <pt idx="3">
                  <v>Pune Plant</v>
                </pt>
                <pt idx="4">
                  <v>Sriperumbudur Plant</v>
                </pt>
                <pt idx="5">
                  <v>Unknown Plant</v>
                </pt>
              </strCache>
            </strRef>
          </cat>
          <val>
            <numRef>
              <f>'Production Analysis'!$E$9:$E$15</f>
              <numCache>
                <formatCode>General</formatCode>
                <ptCount val="6"/>
                <pt idx="0">
                  <v>176750</v>
                </pt>
                <pt idx="1">
                  <v>132193</v>
                </pt>
                <pt idx="2">
                  <v>162038</v>
                </pt>
                <pt idx="3">
                  <v>174566</v>
                </pt>
                <pt idx="4">
                  <v>151927</v>
                </pt>
                <pt idx="5">
                  <v>14569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82"/>
        <axId val="409541664"/>
        <axId val="409538304"/>
      </barChart>
      <catAx>
        <axId val="40954166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09538304"/>
        <crosses val="autoZero"/>
        <auto val="1"/>
        <lblAlgn val="ctr"/>
        <lblOffset val="100"/>
        <noMultiLvlLbl val="0"/>
      </catAx>
      <valAx>
        <axId val="4095383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0954166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[Mobile_Manufacturing_Raw_Data_Dirty_300Rows.xlsx]Production Analysis!PivotTable6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'Production Analysis'!$H$8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'Production Analysis'!$G$9:$G$24</f>
              <strCache>
                <ptCount val="15"/>
                <pt idx="0">
                  <v>Galaxy A55</v>
                </pt>
                <pt idx="1">
                  <v>Galaxy M35</v>
                </pt>
                <pt idx="2">
                  <v>Galaxy S24</v>
                </pt>
                <pt idx="3">
                  <v>iPhone 15</v>
                </pt>
                <pt idx="4">
                  <v>iPhone 16</v>
                </pt>
                <pt idx="5">
                  <v>iPhone 16 Plus</v>
                </pt>
                <pt idx="6">
                  <v>OnePlus 13</v>
                </pt>
                <pt idx="7">
                  <v>OnePlus 13R</v>
                </pt>
                <pt idx="8">
                  <v>OnePlus Nord 5</v>
                </pt>
                <pt idx="9">
                  <v>Redmi 14C</v>
                </pt>
                <pt idx="10">
                  <v>Redmi Note 14</v>
                </pt>
                <pt idx="11">
                  <v>Vivo T3</v>
                </pt>
                <pt idx="12">
                  <v>Vivo V40</v>
                </pt>
                <pt idx="13">
                  <v>Vivo Y300</v>
                </pt>
                <pt idx="14">
                  <v>Xiaomi 14</v>
                </pt>
              </strCache>
            </strRef>
          </cat>
          <val>
            <numRef>
              <f>'Production Analysis'!$H$9:$H$24</f>
              <numCache>
                <formatCode>General</formatCode>
                <ptCount val="15"/>
                <pt idx="0">
                  <v>70263</v>
                </pt>
                <pt idx="1">
                  <v>56906</v>
                </pt>
                <pt idx="2">
                  <v>39937</v>
                </pt>
                <pt idx="3">
                  <v>43220</v>
                </pt>
                <pt idx="4">
                  <v>76202</v>
                </pt>
                <pt idx="5">
                  <v>42835</v>
                </pt>
                <pt idx="6">
                  <v>59469</v>
                </pt>
                <pt idx="7">
                  <v>65435</v>
                </pt>
                <pt idx="8">
                  <v>42336</v>
                </pt>
                <pt idx="9">
                  <v>38881</v>
                </pt>
                <pt idx="10">
                  <v>45410</v>
                </pt>
                <pt idx="11">
                  <v>49157</v>
                </pt>
                <pt idx="12">
                  <v>43464</v>
                </pt>
                <pt idx="13">
                  <v>78592</v>
                </pt>
                <pt idx="14">
                  <v>59936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82"/>
        <axId val="402830528"/>
        <axId val="402833888"/>
      </barChart>
      <catAx>
        <axId val="40283052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02833888"/>
        <crosses val="autoZero"/>
        <auto val="1"/>
        <lblAlgn val="ctr"/>
        <lblOffset val="100"/>
        <noMultiLvlLbl val="0"/>
      </catAx>
      <valAx>
        <axId val="4028338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028305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[Mobile_Manufacturing_Raw_Data_Dirty_300Rows.xlsx]Sales Analysis!PivotTable7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1172475940507437"/>
          <y val="0.1424978127734033"/>
          <w val="0.8521968503937007"/>
          <h val="0.6585309128025664"/>
        </manualLayout>
      </layout>
      <barChart>
        <barDir val="col"/>
        <grouping val="clustered"/>
        <varyColors val="0"/>
        <ser>
          <idx val="0"/>
          <order val="0"/>
          <tx>
            <strRef>
              <f>'Sales Analysis'!$B$8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'Sales Analysis'!$A$9:$A$14</f>
              <strCache>
                <ptCount val="5"/>
                <pt idx="0">
                  <v>Apple</v>
                </pt>
                <pt idx="1">
                  <v>Oneplus</v>
                </pt>
                <pt idx="2">
                  <v>Samsung</v>
                </pt>
                <pt idx="3">
                  <v>Vivo</v>
                </pt>
                <pt idx="4">
                  <v>Xiaomi</v>
                </pt>
              </strCache>
            </strRef>
          </cat>
          <val>
            <numRef>
              <f>'Sales Analysis'!$B$9:$B$14</f>
              <numCache>
                <formatCode>General</formatCode>
                <ptCount val="5"/>
                <pt idx="0">
                  <v>130533</v>
                </pt>
                <pt idx="1">
                  <v>130390</v>
                </pt>
                <pt idx="2">
                  <v>130382</v>
                </pt>
                <pt idx="3">
                  <v>134317</v>
                </pt>
                <pt idx="4">
                  <v>115725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413903104"/>
        <axId val="413900704"/>
      </barChart>
      <catAx>
        <axId val="41390310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13900704"/>
        <crosses val="autoZero"/>
        <auto val="1"/>
        <lblAlgn val="ctr"/>
        <lblOffset val="100"/>
        <noMultiLvlLbl val="0"/>
      </catAx>
      <valAx>
        <axId val="413900704"/>
        <scaling>
          <orientation val="minMax"/>
        </scaling>
        <delete val="0"/>
        <axPos val="l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1390310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[Mobile_Manufacturing_Raw_Data_Dirty_300Rows.xlsx]Sales Analysis!PivotTable8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2536786964129484"/>
          <y val="0.1563404261786424"/>
          <w val="0.6265373283481797"/>
          <h val="0.7258271264437692"/>
        </manualLayout>
      </layout>
      <barChart>
        <barDir val="bar"/>
        <grouping val="stacked"/>
        <varyColors val="0"/>
        <ser>
          <idx val="0"/>
          <order val="0"/>
          <tx>
            <strRef>
              <f>'Sales Analysis'!$E$8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'Sales Analysis'!$D$9:$D$15</f>
              <strCache>
                <ptCount val="6"/>
                <pt idx="0">
                  <v>Bengaluru Plant</v>
                </pt>
                <pt idx="1">
                  <v>Chennai Plant</v>
                </pt>
                <pt idx="2">
                  <v>Noida Plant</v>
                </pt>
                <pt idx="3">
                  <v>Pune Plant</v>
                </pt>
                <pt idx="4">
                  <v>Sriperumbudur Plant</v>
                </pt>
                <pt idx="5">
                  <v>Unknown Plant</v>
                </pt>
              </strCache>
            </strRef>
          </cat>
          <val>
            <numRef>
              <f>'Sales Analysis'!$E$9:$E$15</f>
              <numCache>
                <formatCode>General</formatCode>
                <ptCount val="6"/>
                <pt idx="0">
                  <v>142085</v>
                </pt>
                <pt idx="1">
                  <v>106906</v>
                </pt>
                <pt idx="2">
                  <v>124925</v>
                </pt>
                <pt idx="3">
                  <v>138095</v>
                </pt>
                <pt idx="4">
                  <v>117214</v>
                </pt>
                <pt idx="5">
                  <v>12122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355264704"/>
        <axId val="355260384"/>
      </barChart>
      <catAx>
        <axId val="35526470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55260384"/>
        <crosses val="autoZero"/>
        <auto val="1"/>
        <lblAlgn val="ctr"/>
        <lblOffset val="100"/>
        <noMultiLvlLbl val="0"/>
      </catAx>
      <valAx>
        <axId val="3552603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5526470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[Mobile_Manufacturing_Raw_Data_Dirty_300Rows.xlsx]Sales Analysis!PivotTable10</name>
    <fmtId val="0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stacked"/>
        <varyColors val="0"/>
        <ser>
          <idx val="0"/>
          <order val="0"/>
          <tx>
            <strRef>
              <f>'Sales Analysis'!$H$5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'Sales Analysis'!$G$6:$G$21</f>
              <strCache>
                <ptCount val="15"/>
                <pt idx="0">
                  <v>Vivo Y300</v>
                </pt>
                <pt idx="1">
                  <v>iPhone 16</v>
                </pt>
                <pt idx="2">
                  <v>Galaxy A55</v>
                </pt>
                <pt idx="3">
                  <v>OnePlus 13R</v>
                </pt>
                <pt idx="4">
                  <v>Xiaomi 14</v>
                </pt>
                <pt idx="5">
                  <v>OnePlus 13</v>
                </pt>
                <pt idx="6">
                  <v>Galaxy M35</v>
                </pt>
                <pt idx="7">
                  <v>Vivo T3</v>
                </pt>
                <pt idx="8">
                  <v>Redmi Note 14</v>
                </pt>
                <pt idx="9">
                  <v>iPhone 16 Plus</v>
                </pt>
                <pt idx="10">
                  <v>Vivo V40</v>
                </pt>
                <pt idx="11">
                  <v>iPhone 15</v>
                </pt>
                <pt idx="12">
                  <v>OnePlus Nord 5</v>
                </pt>
                <pt idx="13">
                  <v>Redmi 14C</v>
                </pt>
                <pt idx="14">
                  <v>Galaxy S24</v>
                </pt>
              </strCache>
            </strRef>
          </cat>
          <val>
            <numRef>
              <f>'Sales Analysis'!$H$6:$H$21</f>
              <numCache>
                <formatCode>General</formatCode>
                <ptCount val="15"/>
                <pt idx="0">
                  <v>62246</v>
                </pt>
                <pt idx="1">
                  <v>61231</v>
                </pt>
                <pt idx="2">
                  <v>56200</v>
                </pt>
                <pt idx="3">
                  <v>51926</v>
                </pt>
                <pt idx="4">
                  <v>48709</v>
                </pt>
                <pt idx="5">
                  <v>45183</v>
                </pt>
                <pt idx="6">
                  <v>43792</v>
                </pt>
                <pt idx="7">
                  <v>37042</v>
                </pt>
                <pt idx="8">
                  <v>36098</v>
                </pt>
                <pt idx="9">
                  <v>35130</v>
                </pt>
                <pt idx="10">
                  <v>35029</v>
                </pt>
                <pt idx="11">
                  <v>34172</v>
                </pt>
                <pt idx="12">
                  <v>33281</v>
                </pt>
                <pt idx="13">
                  <v>30918</v>
                </pt>
                <pt idx="14">
                  <v>30390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82671648"/>
        <axId val="582669728"/>
      </barChart>
      <catAx>
        <axId val="58267164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82669728"/>
        <crosses val="autoZero"/>
        <auto val="1"/>
        <lblAlgn val="ctr"/>
        <lblOffset val="100"/>
        <noMultiLvlLbl val="0"/>
      </catAx>
      <valAx>
        <axId val="5826697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8267164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pivotSource>
    <name>[Mobile_Manufacturing_Raw_Data_Dirty_300Rows.xlsx]Revenue Analysis!PivotTable13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'Revenue Analysis'!$D$8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'Revenue Analysis'!$C$9:$C$14</f>
              <strCache>
                <ptCount val="5"/>
                <pt idx="0">
                  <v>Apple</v>
                </pt>
                <pt idx="1">
                  <v>Oneplus</v>
                </pt>
                <pt idx="2">
                  <v>Samsung</v>
                </pt>
                <pt idx="3">
                  <v>Vivo</v>
                </pt>
                <pt idx="4">
                  <v>Xiaomi</v>
                </pt>
              </strCache>
            </strRef>
          </cat>
          <val>
            <numRef>
              <f>'Revenue Analysis'!$D$9:$D$14</f>
              <numCache>
                <formatCode>General</formatCode>
                <ptCount val="5"/>
                <pt idx="0">
                  <v>97452</v>
                </pt>
                <pt idx="1">
                  <v>81796</v>
                </pt>
                <pt idx="2">
                  <v>85889</v>
                </pt>
                <pt idx="3">
                  <v>91271</v>
                </pt>
                <pt idx="4">
                  <v>75077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413898304"/>
        <axId val="413901184"/>
      </barChart>
      <catAx>
        <axId val="4138983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13901184"/>
        <crosses val="autoZero"/>
        <auto val="1"/>
        <lblAlgn val="ctr"/>
        <lblOffset val="100"/>
        <noMultiLvlLbl val="0"/>
      </catAx>
      <valAx>
        <axId val="41390118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1389830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pivotSource>
    <name>[Mobile_Manufacturing_Raw_Data_Dirty_300Rows.xlsx]Revenue Analysis!PivotTable14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inEnd"/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2536786964129484"/>
          <y val="0.1447596560134324"/>
          <w val="0.691654636920385"/>
          <h val="0.7461362244282012"/>
        </manualLayout>
      </layout>
      <barChart>
        <barDir val="bar"/>
        <grouping val="stacked"/>
        <varyColors val="0"/>
        <ser>
          <idx val="0"/>
          <order val="0"/>
          <tx>
            <strRef>
              <f>'Revenue Analysis'!$D$25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'Revenue Analysis'!$C$26:$C$32</f>
              <strCache>
                <ptCount val="6"/>
                <pt idx="0">
                  <v>Bengaluru Plant</v>
                </pt>
                <pt idx="1">
                  <v>Chennai Plant</v>
                </pt>
                <pt idx="2">
                  <v>Noida Plant</v>
                </pt>
                <pt idx="3">
                  <v>Pune Plant</v>
                </pt>
                <pt idx="4">
                  <v>Sriperumbudur Plant</v>
                </pt>
                <pt idx="5">
                  <v>Unknown Plant</v>
                </pt>
              </strCache>
            </strRef>
          </cat>
          <val>
            <numRef>
              <f>'Revenue Analysis'!$D$26:$D$32</f>
              <numCache>
                <formatCode>General</formatCode>
                <ptCount val="6"/>
                <pt idx="0">
                  <v>93530</v>
                </pt>
                <pt idx="1">
                  <v>69804</v>
                </pt>
                <pt idx="2">
                  <v>94173</v>
                </pt>
                <pt idx="3">
                  <v>85252</v>
                </pt>
                <pt idx="4">
                  <v>83144</v>
                </pt>
                <pt idx="5">
                  <v>5582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569936800"/>
        <axId val="569937280"/>
      </barChart>
      <catAx>
        <axId val="56993680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69937280"/>
        <crosses val="autoZero"/>
        <auto val="1"/>
        <lblAlgn val="ctr"/>
        <lblOffset val="100"/>
        <noMultiLvlLbl val="0"/>
      </catAx>
      <valAx>
        <axId val="5699372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6993680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pivotSource>
    <name>[Mobile_Manufacturing_Raw_Data_Dirty_300Rows.xlsx]Revenue Analysis!PivotTable16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'Revenue Analysis'!$D$38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'Revenue Analysis'!$C$39:$C$54</f>
              <strCache>
                <ptCount val="15"/>
                <pt idx="0">
                  <v>Galaxy A55</v>
                </pt>
                <pt idx="1">
                  <v>Galaxy M35</v>
                </pt>
                <pt idx="2">
                  <v>Galaxy S24</v>
                </pt>
                <pt idx="3">
                  <v>iPhone 15</v>
                </pt>
                <pt idx="4">
                  <v>iPhone 16</v>
                </pt>
                <pt idx="5">
                  <v>iPhone 16 Plus</v>
                </pt>
                <pt idx="6">
                  <v>OnePlus 13</v>
                </pt>
                <pt idx="7">
                  <v>OnePlus 13R</v>
                </pt>
                <pt idx="8">
                  <v>OnePlus Nord 5</v>
                </pt>
                <pt idx="9">
                  <v>Redmi 14C</v>
                </pt>
                <pt idx="10">
                  <v>Redmi Note 14</v>
                </pt>
                <pt idx="11">
                  <v>Vivo T3</v>
                </pt>
                <pt idx="12">
                  <v>Vivo V40</v>
                </pt>
                <pt idx="13">
                  <v>Vivo Y300</v>
                </pt>
                <pt idx="14">
                  <v>Xiaomi 14</v>
                </pt>
              </strCache>
            </strRef>
          </cat>
          <val>
            <numRef>
              <f>'Revenue Analysis'!$D$39:$D$54</f>
              <numCache>
                <formatCode>General</formatCode>
                <ptCount val="15"/>
                <pt idx="0">
                  <v>39701</v>
                </pt>
                <pt idx="1">
                  <v>25165</v>
                </pt>
                <pt idx="2">
                  <v>21023</v>
                </pt>
                <pt idx="3">
                  <v>22518</v>
                </pt>
                <pt idx="4">
                  <v>42298</v>
                </pt>
                <pt idx="5">
                  <v>32636</v>
                </pt>
                <pt idx="6">
                  <v>26450</v>
                </pt>
                <pt idx="7">
                  <v>31483</v>
                </pt>
                <pt idx="8">
                  <v>23863</v>
                </pt>
                <pt idx="9">
                  <v>18031</v>
                </pt>
                <pt idx="10">
                  <v>24939</v>
                </pt>
                <pt idx="11">
                  <v>30952</v>
                </pt>
                <pt idx="12">
                  <v>20070</v>
                </pt>
                <pt idx="13">
                  <v>40249</v>
                </pt>
                <pt idx="14">
                  <v>32107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570724992"/>
        <axId val="570725472"/>
      </barChart>
      <catAx>
        <axId val="5707249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70725472"/>
        <crosses val="autoZero"/>
        <auto val="1"/>
        <lblAlgn val="ctr"/>
        <lblOffset val="100"/>
        <noMultiLvlLbl val="0"/>
      </catAx>
      <valAx>
        <axId val="57072547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7072499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pivotSource>
    <name>[Mobile_Manufacturing_Raw_Data_Dirty_300Rows.xlsx]Inventory Analysis!PivotTable17</name>
    <fmtId val="0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'Inventory Analysis'!$E$9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'Inventory Analysis'!$D$10:$D$15</f>
              <strCache>
                <ptCount val="5"/>
                <pt idx="0">
                  <v>Apple</v>
                </pt>
                <pt idx="1">
                  <v>Oneplus</v>
                </pt>
                <pt idx="2">
                  <v>Samsung</v>
                </pt>
                <pt idx="3">
                  <v>Vivo</v>
                </pt>
                <pt idx="4">
                  <v>Xiaomi</v>
                </pt>
              </strCache>
            </strRef>
          </cat>
          <val>
            <numRef>
              <f>'Inventory Analysis'!$E$10:$E$15</f>
              <numCache>
                <formatCode>General</formatCode>
                <ptCount val="5"/>
                <pt idx="0">
                  <v>31724</v>
                </pt>
                <pt idx="1">
                  <v>36850</v>
                </pt>
                <pt idx="2">
                  <v>36724</v>
                </pt>
                <pt idx="3">
                  <v>36896</v>
                </pt>
                <pt idx="4">
                  <v>28502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582669248"/>
        <axId val="582670208"/>
      </barChart>
      <catAx>
        <axId val="5826692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82670208"/>
        <crosses val="autoZero"/>
        <auto val="1"/>
        <lblAlgn val="ctr"/>
        <lblOffset val="100"/>
        <noMultiLvlLbl val="0"/>
      </catAx>
      <valAx>
        <axId val="58267020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8266924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pivotSource>
    <name>[Mobile_Manufacturing_Raw_Data_Dirty_300Rows.xlsx]Inventory Analysis!PivotTable18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'Inventory Analysis'!$E$26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'Inventory Analysis'!$D$27:$D$33</f>
              <strCache>
                <ptCount val="6"/>
                <pt idx="0">
                  <v>Bengaluru Plant</v>
                </pt>
                <pt idx="1">
                  <v>Chennai Plant</v>
                </pt>
                <pt idx="2">
                  <v>Noida Plant</v>
                </pt>
                <pt idx="3">
                  <v>Pune Plant</v>
                </pt>
                <pt idx="4">
                  <v>Sriperumbudur Plant</v>
                </pt>
                <pt idx="5">
                  <v>Unknown Plant</v>
                </pt>
              </strCache>
            </strRef>
          </cat>
          <val>
            <numRef>
              <f>'Inventory Analysis'!$E$27:$E$33</f>
              <numCache>
                <formatCode>General</formatCode>
                <ptCount val="6"/>
                <pt idx="0">
                  <v>34665</v>
                </pt>
                <pt idx="1">
                  <v>25287</v>
                </pt>
                <pt idx="2">
                  <v>37113</v>
                </pt>
                <pt idx="3">
                  <v>36471</v>
                </pt>
                <pt idx="4">
                  <v>34713</v>
                </pt>
                <pt idx="5">
                  <v>2447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574512432"/>
        <axId val="574514832"/>
      </barChart>
      <catAx>
        <axId val="57451243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74514832"/>
        <crosses val="autoZero"/>
        <auto val="1"/>
        <lblAlgn val="ctr"/>
        <lblOffset val="100"/>
        <noMultiLvlLbl val="0"/>
      </catAx>
      <valAx>
        <axId val="5745148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7451243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pivotSource>
    <name>[Mobile_Manufacturing_Raw_Data_Dirty_300Rows.xlsx]Inventory Analysis!PivotTable19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inEnd"/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no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7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8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9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1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1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1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1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1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  <pivotFmt>
        <idx val="1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ctr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1862202537182852"/>
          <y val="0.0615741214166411"/>
          <w val="0.7376686351706037"/>
          <h val="0.8476959470975219"/>
        </manualLayout>
      </layout>
      <barChart>
        <barDir val="bar"/>
        <grouping val="stacked"/>
        <varyColors val="0"/>
        <ser>
          <idx val="0"/>
          <order val="0"/>
          <tx>
            <strRef>
              <f>'Inventory Analysis'!$E$41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2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3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4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2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'Inventory Analysis'!$D$42:$D$57</f>
              <strCache>
                <ptCount val="15"/>
                <pt idx="0">
                  <v>iPhone 16 Plus</v>
                </pt>
                <pt idx="1">
                  <v>Redmi 14C</v>
                </pt>
                <pt idx="2">
                  <v>Vivo V40</v>
                </pt>
                <pt idx="3">
                  <v>iPhone 15</v>
                </pt>
                <pt idx="4">
                  <v>OnePlus Nord 5</v>
                </pt>
                <pt idx="5">
                  <v>Redmi Note 14</v>
                </pt>
                <pt idx="6">
                  <v>Galaxy S24</v>
                </pt>
                <pt idx="7">
                  <v>Xiaomi 14</v>
                </pt>
                <pt idx="8">
                  <v>Vivo T3</v>
                </pt>
                <pt idx="9">
                  <v>Galaxy M35</v>
                </pt>
                <pt idx="10">
                  <v>OnePlus 13R</v>
                </pt>
                <pt idx="11">
                  <v>Galaxy A55</v>
                </pt>
                <pt idx="12">
                  <v>OnePlus 13</v>
                </pt>
                <pt idx="13">
                  <v>iPhone 16</v>
                </pt>
                <pt idx="14">
                  <v>Vivo Y300</v>
                </pt>
              </strCache>
            </strRef>
          </cat>
          <val>
            <numRef>
              <f>'Inventory Analysis'!$E$42:$E$57</f>
              <numCache>
                <formatCode>General</formatCode>
                <ptCount val="15"/>
                <pt idx="0">
                  <v>7705</v>
                </pt>
                <pt idx="1">
                  <v>7963</v>
                </pt>
                <pt idx="2">
                  <v>8435</v>
                </pt>
                <pt idx="3">
                  <v>9048</v>
                </pt>
                <pt idx="4">
                  <v>9055</v>
                </pt>
                <pt idx="5">
                  <v>9312</v>
                </pt>
                <pt idx="6">
                  <v>9547</v>
                </pt>
                <pt idx="7">
                  <v>11227</v>
                </pt>
                <pt idx="8">
                  <v>12115</v>
                </pt>
                <pt idx="9">
                  <v>13114</v>
                </pt>
                <pt idx="10">
                  <v>13509</v>
                </pt>
                <pt idx="11">
                  <v>14063</v>
                </pt>
                <pt idx="12">
                  <v>14286</v>
                </pt>
                <pt idx="13">
                  <v>14971</v>
                </pt>
                <pt idx="14">
                  <v>16346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600415328"/>
        <axId val="600413888"/>
      </barChart>
      <catAx>
        <axId val="60041532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00413888"/>
        <crosses val="autoZero"/>
        <auto val="1"/>
        <lblAlgn val="ctr"/>
        <lblOffset val="100"/>
        <noMultiLvlLbl val="0"/>
      </catAx>
      <valAx>
        <axId val="6004138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00415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="http://schemas.openxmlformats.org/drawingml/2006/chart">
  <pivotSource>
    <name>[Mobile_Manufacturing_Raw_Data_Dirty_300Rows.xlsx]Monthly Trend Analysis!PivotTable1</name>
    <fmtId val="0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1"/>
            </a:solidFill>
            <a:ln xmlns:a="http://schemas.openxmlformats.org/drawingml/2006/main" w="9525">
              <a:solidFill>
                <a:schemeClr val="accent1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'Monthly Trend Analysis'!$E$10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'Monthly Trend Analysis'!$D$11:$D$23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'Monthly Trend Analysis'!$E$11:$E$23</f>
              <numCache>
                <formatCode>General</formatCode>
                <ptCount val="12"/>
                <pt idx="0">
                  <v>61476</v>
                </pt>
                <pt idx="1">
                  <v>71432</v>
                </pt>
                <pt idx="2">
                  <v>50498</v>
                </pt>
                <pt idx="3">
                  <v>56831</v>
                </pt>
                <pt idx="4">
                  <v>79080</v>
                </pt>
                <pt idx="5">
                  <v>81788</v>
                </pt>
                <pt idx="6">
                  <v>60864</v>
                </pt>
                <pt idx="7">
                  <v>85251</v>
                </pt>
                <pt idx="8">
                  <v>44584</v>
                </pt>
                <pt idx="9">
                  <v>75863</v>
                </pt>
                <pt idx="10">
                  <v>65195</v>
                </pt>
                <pt idx="11">
                  <v>79181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3577839"/>
        <axId val="1713578319"/>
      </lineChart>
      <catAx>
        <axId val="17135778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13578319"/>
        <crosses val="autoZero"/>
        <auto val="1"/>
        <lblAlgn val="ctr"/>
        <lblOffset val="100"/>
        <noMultiLvlLbl val="0"/>
      </catAx>
      <valAx>
        <axId val="171357831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1357783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="http://schemas.openxmlformats.org/drawingml/2006/chart">
  <pivotSource>
    <name>[Mobile_Manufacturing_Raw_Data_Dirty_300Rows.xlsx]Monthly Trend Analysis!PivotTable2</name>
    <fmtId val="0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1"/>
            </a:solidFill>
            <a:ln xmlns:a="http://schemas.openxmlformats.org/drawingml/2006/main" w="9525">
              <a:solidFill>
                <a:schemeClr val="accent1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'Monthly Trend Analysis'!$E$30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'Monthly Trend Analysis'!$D$31:$D$43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'Monthly Trend Analysis'!$E$31:$E$43</f>
              <numCache>
                <formatCode>General</formatCode>
                <ptCount val="12"/>
                <pt idx="0">
                  <v>49781</v>
                </pt>
                <pt idx="1">
                  <v>57900</v>
                </pt>
                <pt idx="2">
                  <v>39443</v>
                </pt>
                <pt idx="3">
                  <v>45418</v>
                </pt>
                <pt idx="4">
                  <v>62241</v>
                </pt>
                <pt idx="5">
                  <v>62355</v>
                </pt>
                <pt idx="6">
                  <v>45464</v>
                </pt>
                <pt idx="7">
                  <v>68283</v>
                </pt>
                <pt idx="8">
                  <v>34925</v>
                </pt>
                <pt idx="9">
                  <v>60062</v>
                </pt>
                <pt idx="10">
                  <v>53895</v>
                </pt>
                <pt idx="11">
                  <v>61580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63590703"/>
        <axId val="1663587343"/>
      </lineChart>
      <catAx>
        <axId val="166359070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63587343"/>
        <crosses val="autoZero"/>
        <auto val="1"/>
        <lblAlgn val="ctr"/>
        <lblOffset val="100"/>
        <noMultiLvlLbl val="0"/>
      </catAx>
      <valAx>
        <axId val="166358734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6359070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="http://schemas.openxmlformats.org/drawingml/2006/chart">
  <pivotSource>
    <name>[Mobile_Manufacturing_Raw_Data_Dirty_300Rows.xlsx]Monthly Trend Analysis!PivotTable3</name>
    <fmtId val="0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1"/>
            </a:solidFill>
            <a:ln xmlns:a="http://schemas.openxmlformats.org/drawingml/2006/main" w="9525">
              <a:solidFill>
                <a:schemeClr val="accent1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'Monthly Trend Analysis'!$E$50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'Monthly Trend Analysis'!$D$51:$D$63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'Monthly Trend Analysis'!$E$51:$E$63</f>
              <numCache>
                <formatCode>General</formatCode>
                <ptCount val="12"/>
                <pt idx="0">
                  <v>25029</v>
                </pt>
                <pt idx="1">
                  <v>41044</v>
                </pt>
                <pt idx="2">
                  <v>28278</v>
                </pt>
                <pt idx="3">
                  <v>29479</v>
                </pt>
                <pt idx="4">
                  <v>34016</v>
                </pt>
                <pt idx="5">
                  <v>42506</v>
                </pt>
                <pt idx="6">
                  <v>32163</v>
                </pt>
                <pt idx="7">
                  <v>49330</v>
                </pt>
                <pt idx="8">
                  <v>24997</v>
                </pt>
                <pt idx="9">
                  <v>45371</v>
                </pt>
                <pt idx="10">
                  <v>36336</v>
                </pt>
                <pt idx="11">
                  <v>42936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61905359"/>
        <axId val="1861897199"/>
      </lineChart>
      <catAx>
        <axId val="18619053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61897199"/>
        <crosses val="autoZero"/>
        <auto val="1"/>
        <lblAlgn val="ctr"/>
        <lblOffset val="100"/>
        <noMultiLvlLbl val="0"/>
      </catAx>
      <valAx>
        <axId val="186189719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6190535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11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28</row>
      <rowOff>0</rowOff>
    </from>
    <ext cx="61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45</row>
      <rowOff>0</rowOff>
    </from>
    <ext cx="612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15</col>
      <colOff>0</colOff>
      <row>28</row>
      <rowOff>0</rowOff>
    </from>
    <ext cx="61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45</row>
      <rowOff>0</rowOff>
    </from>
    <ext cx="612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>
    <from>
      <col>0</col>
      <colOff>3665</colOff>
      <row>18</row>
      <rowOff>191475</rowOff>
    </from>
    <to>
      <col>3</col>
      <colOff>708269</colOff>
      <row>33</row>
      <rowOff>3906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720479</colOff>
      <row>18</row>
      <rowOff>179265</rowOff>
    </from>
    <to>
      <col>5</col>
      <colOff>1990481</colOff>
      <row>32</row>
      <rowOff>187081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8</col>
      <colOff>28087</colOff>
      <row>18</row>
      <rowOff>167053</rowOff>
    </from>
    <to>
      <col>12</col>
      <colOff>448164</colOff>
      <row>32</row>
      <rowOff>174869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0</colOff>
      <row>22</row>
      <rowOff>14287</rowOff>
    </from>
    <to>
      <col>4</col>
      <colOff>0</colOff>
      <row>35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47625</colOff>
      <row>22</row>
      <rowOff>0</rowOff>
    </from>
    <to>
      <col>7</col>
      <colOff>638175</colOff>
      <row>34</row>
      <rowOff>180975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7</col>
      <colOff>695325</colOff>
      <row>22</row>
      <rowOff>1</rowOff>
    </from>
    <to>
      <col>14</col>
      <colOff>142875</colOff>
      <row>35</row>
      <rowOff>1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5</col>
      <colOff>590550</colOff>
      <row>3</row>
      <rowOff>176212</rowOff>
    </from>
    <to>
      <col>13</col>
      <colOff>9525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600075</colOff>
      <row>19</row>
      <rowOff>176212</rowOff>
    </from>
    <to>
      <col>13</col>
      <colOff>361950</colOff>
      <row>34</row>
      <rowOff>19050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</col>
      <colOff>0</colOff>
      <row>36</row>
      <rowOff>76201</rowOff>
    </from>
    <to>
      <col>13</col>
      <colOff>466725</colOff>
      <row>54</row>
      <rowOff>9525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6</col>
      <colOff>0</colOff>
      <row>3</row>
      <rowOff>185737</rowOff>
    </from>
    <to>
      <col>12</col>
      <colOff>171450</colOff>
      <row>18</row>
      <rowOff>71437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609599</colOff>
      <row>19</row>
      <rowOff>133349</rowOff>
    </from>
    <to>
      <col>13</col>
      <colOff>257175</colOff>
      <row>36</row>
      <rowOff>47624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</col>
      <colOff>0</colOff>
      <row>39</row>
      <rowOff>152400</rowOff>
    </from>
    <to>
      <col>12</col>
      <colOff>171450</colOff>
      <row>59</row>
      <rowOff>9525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6</col>
      <colOff>9526</colOff>
      <row>5</row>
      <rowOff>76199</rowOff>
    </from>
    <to>
      <col>15</col>
      <colOff>9526</colOff>
      <row>22</row>
      <rowOff>180974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9525</colOff>
      <row>27</row>
      <rowOff>19049</rowOff>
    </from>
    <to>
      <col>14</col>
      <colOff>600074</colOff>
      <row>43</row>
      <rowOff>52386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</col>
      <colOff>9524</colOff>
      <row>45</row>
      <rowOff>185736</rowOff>
    </from>
    <to>
      <col>15</col>
      <colOff>0</colOff>
      <row>62</row>
      <rowOff>190499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LENOVO" refreshedDate="46196.66627430556" createdVersion="8" refreshedVersion="8" minRefreshableVersion="3" recordCount="290" r:id="rId1">
  <cacheSource type="worksheet">
    <worksheetSource name="Table1"/>
  </cacheSource>
  <cacheFields count="17">
    <cacheField name="Serial No" uniqueList="1" numFmtId="0" sqlType="0" hierarchy="0" level="0" databaseField="1">
      <sharedItems count="0" containsInteger="1" containsNumber="1" containsSemiMixedTypes="0" containsString="0" minValue="1" maxValue="300"/>
    </cacheField>
    <cacheField name="Plant Name" uniqueList="1" numFmtId="0" sqlType="0" hierarchy="0" level="0" databaseField="1">
      <sharedItems count="6">
        <s v="Noida Plant"/>
        <s v="Bengaluru Plant"/>
        <s v="Sriperumbudur Plant"/>
        <s v="Pune Plant"/>
        <s v="Chennai Plant"/>
        <s v="Unknown Plant"/>
      </sharedItems>
    </cacheField>
    <cacheField name="Plant Type" uniqueList="1" numFmtId="0" sqlType="0" hierarchy="0" level="0" databaseField="1">
      <sharedItems count="0"/>
    </cacheField>
    <cacheField name="Brand" uniqueList="1" numFmtId="0" sqlType="0" hierarchy="0" level="0" databaseField="1">
      <sharedItems count="5">
        <s v="Samsung"/>
        <s v="Apple"/>
        <s v="Xiaomi"/>
        <s v="Vivo"/>
        <s v="Oneplus"/>
      </sharedItems>
    </cacheField>
    <cacheField name="Product" uniqueList="1" numFmtId="0" sqlType="0" hierarchy="0" level="0" databaseField="1">
      <sharedItems count="0"/>
    </cacheField>
    <cacheField name="Model" uniqueList="1" numFmtId="0" sqlType="0" hierarchy="0" level="0" databaseField="1">
      <sharedItems count="15">
        <s v="Galaxy A55"/>
        <s v="Galaxy M35"/>
        <s v="Galaxy S24"/>
        <s v="iPhone 16"/>
        <s v="iPhone 15"/>
        <s v="iPhone 16 Plus"/>
        <s v="Redmi Note 14"/>
        <s v="Xiaomi 14"/>
        <s v="Redmi 14C"/>
        <s v="Vivo Y300"/>
        <s v="Vivo T3"/>
        <s v="Vivo V40"/>
        <s v="OnePlus 13R"/>
        <s v="OnePlus Nord 5"/>
        <s v="OnePlus 13"/>
      </sharedItems>
    </cacheField>
    <cacheField name="Production Date" uniqueList="1" numFmtId="0" sqlType="0" hierarchy="0" level="0" databaseField="1">
      <sharedItems count="0"/>
    </cacheField>
    <cacheField name="Quantity Produced" uniqueList="1" numFmtId="0" sqlType="0" hierarchy="0" level="0" databaseField="1">
      <sharedItems count="0" containsInteger="1" containsNumber="1" containsSemiMixedTypes="0" containsString="0" minValue="511" maxValue="4987"/>
    </cacheField>
    <cacheField name="Quantity Sold" uniqueList="1" numFmtId="0" sqlType="0" hierarchy="0" level="0" databaseField="1">
      <sharedItems count="0" containsInteger="1" containsNumber="1" containsSemiMixedTypes="0" containsString="0" minValue="337" maxValue="4898"/>
    </cacheField>
    <cacheField name="Unit Price" uniqueList="1" numFmtId="0" sqlType="0" hierarchy="0" level="0" databaseField="1">
      <sharedItems count="0" containsInteger="1" containsNumber="1" containsSemiMixedTypes="0" containsString="0" minValue="12284" maxValue="119801"/>
    </cacheField>
    <cacheField name="Shipping Status" uniqueList="1" numFmtId="0" sqlType="0" hierarchy="0" level="0" databaseField="1">
      <sharedItems count="0"/>
    </cacheField>
    <cacheField name="Completion Status" uniqueList="1" numFmtId="0" sqlType="0" hierarchy="0" level="0" databaseField="1">
      <sharedItems count="0"/>
    </cacheField>
    <cacheField name="Revenue" uniqueList="1" numFmtId="0" sqlType="0" hierarchy="0" level="0" databaseField="1">
      <sharedItems count="0" containsInteger="1" containsNumber="1" containsSemiMixedTypes="0" containsString="0" minValue="5320024" maxValue="471492585"/>
    </cacheField>
    <cacheField name="Revenue (Lakhs)" uniqueList="1" numFmtId="0" sqlType="0" hierarchy="0" level="0" databaseField="1">
      <sharedItems count="0" containsInteger="1" containsNumber="1" containsSemiMixedTypes="0" containsString="0" minValue="53" maxValue="4715"/>
    </cacheField>
    <cacheField name="Unsold Quantity" uniqueList="1" numFmtId="0" sqlType="0" hierarchy="0" level="0" databaseField="1">
      <sharedItems count="0" containsInteger="1" containsNumber="1" containsSemiMixedTypes="0" containsString="0" minValue="4" maxValue="1990"/>
    </cacheField>
    <cacheField name="Month" uniqueList="1" numFmtId="0" sqlType="0" hierarchy="0" level="0" databaseField="1">
      <sharedItems count="12">
        <s v="February"/>
        <s v="October"/>
        <s v="August"/>
        <s v="March"/>
        <s v="July"/>
        <s v="May"/>
        <s v="January"/>
        <s v="June"/>
        <s v="December"/>
        <s v="September"/>
        <s v="November"/>
        <s v="April"/>
      </sharedItems>
    </cacheField>
    <cacheField name="Year" uniqueList="1" numFmtId="0" sqlType="0" hierarchy="0" level="0" databaseField="1">
      <sharedItems count="0" containsInteger="1" containsNumber="1" containsSemiMixedTypes="0" containsString="0" minValue="2025" maxValue="2025"/>
    </cacheField>
  </cacheFields>
</pivotCacheDefinition>
</file>

<file path=xl/pivotCache/pivotCacheRecords1.xml><?xml version="1.0" encoding="utf-8"?>
<pivotCacheRecords xmlns="http://schemas.openxmlformats.org/spreadsheetml/2006/main" count="290">
  <r>
    <n v="1"/>
    <x v="0"/>
    <s v="Packaging"/>
    <x v="0"/>
    <s v="Smartphone"/>
    <x v="0"/>
    <s v="2025-02-22"/>
    <n v="4591"/>
    <n v="3732"/>
    <n v="19523"/>
    <s v="Pending"/>
    <s v="Completed"/>
    <n v="72859836"/>
    <n v="729"/>
    <n v="859"/>
    <x v="0"/>
    <n v="2025"/>
  </r>
  <r>
    <n v="2"/>
    <x v="1"/>
    <s v="Manufacturing"/>
    <x v="0"/>
    <s v="Smartphone"/>
    <x v="1"/>
    <s v="2025-10-26"/>
    <n v="4273"/>
    <n v="3023"/>
    <n v="84627"/>
    <s v="In Transit"/>
    <s v="In Progress"/>
    <n v="255827421"/>
    <n v="2558"/>
    <n v="1250"/>
    <x v="1"/>
    <n v="2025"/>
  </r>
  <r>
    <n v="3"/>
    <x v="1"/>
    <s v="Testing"/>
    <x v="0"/>
    <s v="Smartphone"/>
    <x v="1"/>
    <s v="2025-08-17"/>
    <n v="4734"/>
    <n v="4061"/>
    <n v="45531"/>
    <s v="In Transit"/>
    <s v="Completed"/>
    <n v="184901391"/>
    <n v="1849"/>
    <n v="673"/>
    <x v="2"/>
    <n v="2025"/>
  </r>
  <r>
    <n v="4"/>
    <x v="0"/>
    <s v="Manufacturing"/>
    <x v="0"/>
    <s v="Smartphone"/>
    <x v="0"/>
    <s v="2025-08-22"/>
    <n v="2255"/>
    <n v="1609"/>
    <n v="103791"/>
    <s v="Pending"/>
    <s v="Completed"/>
    <n v="166999719"/>
    <n v="1670"/>
    <n v="646"/>
    <x v="2"/>
    <n v="2025"/>
  </r>
  <r>
    <n v="5"/>
    <x v="2"/>
    <s v="Packaging"/>
    <x v="0"/>
    <s v="Smartphone"/>
    <x v="2"/>
    <s v="2025-03-22"/>
    <n v="957"/>
    <n v="760"/>
    <n v="100782"/>
    <s v="Pending"/>
    <s v="In Progress"/>
    <n v="76594320"/>
    <n v="766"/>
    <n v="197"/>
    <x v="3"/>
    <n v="2025"/>
  </r>
  <r>
    <n v="6"/>
    <x v="2"/>
    <s v="Testing"/>
    <x v="0"/>
    <s v="Smartphone"/>
    <x v="1"/>
    <s v="2025-07-16"/>
    <n v="4604"/>
    <n v="3470"/>
    <n v="53473"/>
    <s v="Shipped"/>
    <s v="In Progress"/>
    <n v="185551310"/>
    <n v="1856"/>
    <n v="1134"/>
    <x v="4"/>
    <n v="2025"/>
  </r>
  <r>
    <n v="7"/>
    <x v="1"/>
    <s v="Manufacturing"/>
    <x v="0"/>
    <s v="Smartphone"/>
    <x v="2"/>
    <s v="2025-05-17"/>
    <n v="2411"/>
    <n v="1484"/>
    <n v="13866"/>
    <s v="Pending"/>
    <s v="In Progress"/>
    <n v="20577144"/>
    <n v="206"/>
    <n v="927"/>
    <x v="5"/>
    <n v="2025"/>
  </r>
  <r>
    <n v="8"/>
    <x v="3"/>
    <s v="Packaging"/>
    <x v="0"/>
    <s v="Smartphone"/>
    <x v="1"/>
    <s v="2025-07-10"/>
    <n v="536"/>
    <n v="337"/>
    <n v="82994"/>
    <s v="Shipped"/>
    <s v="In Progress"/>
    <n v="27968978"/>
    <n v="280"/>
    <n v="199"/>
    <x v="4"/>
    <n v="2025"/>
  </r>
  <r>
    <n v="9"/>
    <x v="0"/>
    <s v="Testing"/>
    <x v="0"/>
    <s v="Smartphone"/>
    <x v="0"/>
    <s v="2025-01-24"/>
    <n v="511"/>
    <n v="340"/>
    <n v="27053"/>
    <s v="Shipped"/>
    <s v="In Progress"/>
    <n v="9198020"/>
    <n v="92"/>
    <n v="171"/>
    <x v="6"/>
    <n v="2025"/>
  </r>
  <r>
    <n v="10"/>
    <x v="0"/>
    <s v="Testing"/>
    <x v="0"/>
    <s v="Smartphone"/>
    <x v="1"/>
    <s v="2025-02-28"/>
    <n v="1567"/>
    <n v="1147"/>
    <n v="59010"/>
    <s v="Pending"/>
    <s v="Completed"/>
    <n v="67684470"/>
    <n v="677"/>
    <n v="420"/>
    <x v="0"/>
    <n v="2025"/>
  </r>
  <r>
    <n v="11"/>
    <x v="3"/>
    <s v="Testing"/>
    <x v="0"/>
    <s v="Smartphone"/>
    <x v="0"/>
    <s v="2025-01-09"/>
    <n v="2747"/>
    <n v="2074"/>
    <n v="28486"/>
    <s v="In Transit"/>
    <s v="In Progress"/>
    <n v="59079964"/>
    <n v="591"/>
    <n v="673"/>
    <x v="6"/>
    <n v="2025"/>
  </r>
  <r>
    <n v="12"/>
    <x v="0"/>
    <s v="Packaging"/>
    <x v="0"/>
    <s v="Smartphone"/>
    <x v="0"/>
    <s v="2025-06-10"/>
    <n v="1546"/>
    <n v="988"/>
    <n v="36513"/>
    <s v="Shipped"/>
    <s v="In Progress"/>
    <n v="36074844"/>
    <n v="361"/>
    <n v="558"/>
    <x v="7"/>
    <n v="2025"/>
  </r>
  <r>
    <n v="13"/>
    <x v="2"/>
    <s v="Assembly"/>
    <x v="0"/>
    <s v="Smartphone"/>
    <x v="0"/>
    <s v="2025-12-27"/>
    <n v="631"/>
    <n v="518"/>
    <n v="18694"/>
    <s v="Shipped"/>
    <s v="In Progress"/>
    <n v="9683492"/>
    <n v="97"/>
    <n v="113"/>
    <x v="8"/>
    <n v="2025"/>
  </r>
  <r>
    <n v="14"/>
    <x v="3"/>
    <s v="Manufacturing"/>
    <x v="0"/>
    <s v="Smartphone"/>
    <x v="2"/>
    <s v="2025-08-06"/>
    <n v="1242"/>
    <n v="798"/>
    <n v="49630"/>
    <s v="Pending"/>
    <s v="In Progress"/>
    <n v="39604740"/>
    <n v="396"/>
    <n v="444"/>
    <x v="2"/>
    <n v="2025"/>
  </r>
  <r>
    <n v="15"/>
    <x v="1"/>
    <s v="Manufacturing"/>
    <x v="0"/>
    <s v="Smartphone"/>
    <x v="0"/>
    <s v="2025-12-25"/>
    <n v="2765"/>
    <n v="2430"/>
    <n v="24856"/>
    <s v="In Transit"/>
    <s v="Completed"/>
    <n v="60400080"/>
    <n v="604"/>
    <n v="335"/>
    <x v="8"/>
    <n v="2025"/>
  </r>
  <r>
    <n v="16"/>
    <x v="4"/>
    <s v="Packaging"/>
    <x v="0"/>
    <s v="Smartphone"/>
    <x v="0"/>
    <s v="2025-07-22"/>
    <n v="4634"/>
    <n v="3526"/>
    <n v="98581"/>
    <s v="Pending"/>
    <s v="In Progress"/>
    <n v="347596606"/>
    <n v="3476"/>
    <n v="1108"/>
    <x v="4"/>
    <n v="2025"/>
  </r>
  <r>
    <n v="17"/>
    <x v="3"/>
    <s v="Packaging"/>
    <x v="0"/>
    <s v="Smartphone"/>
    <x v="1"/>
    <s v="2025-09-09"/>
    <n v="2052"/>
    <n v="1286"/>
    <n v="115971"/>
    <s v="Shipped"/>
    <s v="Completed"/>
    <n v="149138706"/>
    <n v="1491"/>
    <n v="766"/>
    <x v="9"/>
    <n v="2025"/>
  </r>
  <r>
    <n v="18"/>
    <x v="3"/>
    <s v="Assembly"/>
    <x v="0"/>
    <s v="Smartphone"/>
    <x v="1"/>
    <s v="2025-06-21"/>
    <n v="3764"/>
    <n v="3045"/>
    <n v="85998"/>
    <s v="Shipped"/>
    <s v="In Progress"/>
    <n v="261863910"/>
    <n v="2619"/>
    <n v="719"/>
    <x v="7"/>
    <n v="2025"/>
  </r>
  <r>
    <n v="19"/>
    <x v="3"/>
    <s v="Testing"/>
    <x v="0"/>
    <s v="Smartphone"/>
    <x v="0"/>
    <s v="2025-12-22"/>
    <n v="4275"/>
    <n v="3886"/>
    <n v="82825"/>
    <s v="Pending"/>
    <s v="In Progress"/>
    <n v="321857950"/>
    <n v="3219"/>
    <n v="389"/>
    <x v="8"/>
    <n v="2025"/>
  </r>
  <r>
    <n v="20"/>
    <x v="4"/>
    <s v="Packaging"/>
    <x v="0"/>
    <s v="Smartphone"/>
    <x v="1"/>
    <s v="2025-07-28"/>
    <n v="1427"/>
    <n v="1319"/>
    <n v="29151"/>
    <s v="Shipped"/>
    <s v="Completed"/>
    <n v="38450169"/>
    <n v="385"/>
    <n v="108"/>
    <x v="4"/>
    <n v="2025"/>
  </r>
  <r>
    <n v="21"/>
    <x v="3"/>
    <s v="Assembly"/>
    <x v="0"/>
    <s v="Smartphone"/>
    <x v="0"/>
    <s v="2025-11-07"/>
    <n v="4746"/>
    <n v="3112"/>
    <n v="44279"/>
    <s v="Pending"/>
    <s v="Completed"/>
    <n v="137796248"/>
    <n v="1378"/>
    <n v="1634"/>
    <x v="10"/>
    <n v="2025"/>
  </r>
  <r>
    <n v="22"/>
    <x v="0"/>
    <s v="Packaging"/>
    <x v="0"/>
    <s v="Smartphone"/>
    <x v="0"/>
    <s v="2025-11-21"/>
    <n v="1726"/>
    <n v="1642"/>
    <n v="64091"/>
    <s v="Pending"/>
    <s v="Completed"/>
    <n v="105237422"/>
    <n v="1052"/>
    <n v="84"/>
    <x v="10"/>
    <n v="2025"/>
  </r>
  <r>
    <n v="23"/>
    <x v="0"/>
    <s v="Manufacturing"/>
    <x v="0"/>
    <s v="Smartphone"/>
    <x v="0"/>
    <s v="2025-07-26"/>
    <n v="2368"/>
    <n v="1568"/>
    <n v="104667"/>
    <s v="Shipped"/>
    <s v="In Progress"/>
    <n v="164117856"/>
    <n v="1641"/>
    <n v="800"/>
    <x v="4"/>
    <n v="2025"/>
  </r>
  <r>
    <n v="24"/>
    <x v="0"/>
    <s v="Testing"/>
    <x v="0"/>
    <s v="Smartphone"/>
    <x v="2"/>
    <s v="2025-08-04"/>
    <n v="2726"/>
    <n v="2011"/>
    <n v="113718"/>
    <s v="In Transit"/>
    <s v="In Progress"/>
    <n v="228686898"/>
    <n v="2287"/>
    <n v="715"/>
    <x v="2"/>
    <n v="2025"/>
  </r>
  <r>
    <n v="26"/>
    <x v="1"/>
    <s v="Manufacturing"/>
    <x v="0"/>
    <s v="Smartphone"/>
    <x v="0"/>
    <s v="2025-02-05"/>
    <n v="1612"/>
    <n v="1498"/>
    <n v="45369"/>
    <s v="Shipped"/>
    <s v="Completed"/>
    <n v="67962762"/>
    <n v="680"/>
    <n v="114"/>
    <x v="0"/>
    <n v="2025"/>
  </r>
  <r>
    <n v="27"/>
    <x v="2"/>
    <s v="Packaging"/>
    <x v="0"/>
    <s v="Smartphone"/>
    <x v="1"/>
    <s v="2025-12-08"/>
    <n v="783"/>
    <n v="487"/>
    <n v="12284"/>
    <s v="Shipped"/>
    <s v="Completed"/>
    <n v="5982308"/>
    <n v="60"/>
    <n v="296"/>
    <x v="8"/>
    <n v="2025"/>
  </r>
  <r>
    <n v="28"/>
    <x v="3"/>
    <s v="Assembly"/>
    <x v="0"/>
    <s v="Smartphone"/>
    <x v="2"/>
    <s v="2025-02-01"/>
    <n v="2911"/>
    <n v="2506"/>
    <n v="37848"/>
    <s v="Shipped"/>
    <s v="In Progress"/>
    <n v="94847088"/>
    <n v="948"/>
    <n v="405"/>
    <x v="0"/>
    <n v="2025"/>
  </r>
  <r>
    <n v="29"/>
    <x v="3"/>
    <s v="Assembly"/>
    <x v="0"/>
    <s v="Smartphone"/>
    <x v="2"/>
    <s v="2025-05-16"/>
    <n v="2803"/>
    <n v="2131"/>
    <n v="100587"/>
    <s v="Pending"/>
    <s v="In Progress"/>
    <n v="214350897"/>
    <n v="2144"/>
    <n v="672"/>
    <x v="5"/>
    <n v="2025"/>
  </r>
  <r>
    <n v="30"/>
    <x v="0"/>
    <s v="Assembly"/>
    <x v="0"/>
    <s v="Smartphone"/>
    <x v="2"/>
    <s v="2025-05-17"/>
    <n v="2819"/>
    <n v="1800"/>
    <n v="49788"/>
    <s v="Pending"/>
    <s v="Completed"/>
    <n v="89618400"/>
    <n v="896"/>
    <n v="1019"/>
    <x v="5"/>
    <n v="2025"/>
  </r>
  <r>
    <n v="31"/>
    <x v="3"/>
    <s v="Testing"/>
    <x v="0"/>
    <s v="Smartphone"/>
    <x v="0"/>
    <s v="2025-04-19"/>
    <n v="3668"/>
    <n v="3124"/>
    <n v="106890"/>
    <s v="Pending"/>
    <s v="Completed"/>
    <n v="333924360"/>
    <n v="3339"/>
    <n v="544"/>
    <x v="11"/>
    <n v="2025"/>
  </r>
  <r>
    <n v="32"/>
    <x v="1"/>
    <s v="Testing"/>
    <x v="0"/>
    <s v="Smartphone"/>
    <x v="1"/>
    <s v="2025-12-29"/>
    <n v="2597"/>
    <n v="2110"/>
    <n v="61168"/>
    <s v="In Transit"/>
    <s v="Completed"/>
    <n v="129064480"/>
    <n v="1291"/>
    <n v="487"/>
    <x v="8"/>
    <n v="2025"/>
  </r>
  <r>
    <n v="33"/>
    <x v="2"/>
    <s v="Assembly"/>
    <x v="0"/>
    <s v="Smartphone"/>
    <x v="1"/>
    <s v="2025-08-04"/>
    <n v="1484"/>
    <n v="1049"/>
    <n v="56819"/>
    <s v="In Transit"/>
    <s v="In Progress"/>
    <n v="59603131"/>
    <n v="596"/>
    <n v="435"/>
    <x v="2"/>
    <n v="2025"/>
  </r>
  <r>
    <n v="34"/>
    <x v="2"/>
    <s v="Packaging"/>
    <x v="0"/>
    <s v="Smartphone"/>
    <x v="2"/>
    <s v="2025-05-08"/>
    <n v="4048"/>
    <n v="3550"/>
    <n v="94634"/>
    <s v="Shipped"/>
    <s v="Completed"/>
    <n v="335950700"/>
    <n v="3360"/>
    <n v="498"/>
    <x v="5"/>
    <n v="2025"/>
  </r>
  <r>
    <n v="35"/>
    <x v="3"/>
    <s v="Assembly"/>
    <x v="0"/>
    <s v="Smartphone"/>
    <x v="0"/>
    <s v="2025-01-18"/>
    <n v="3322"/>
    <n v="3122"/>
    <n v="25650"/>
    <s v="Shipped"/>
    <s v="Completed"/>
    <n v="80079300"/>
    <n v="801"/>
    <n v="200"/>
    <x v="6"/>
    <n v="2025"/>
  </r>
  <r>
    <n v="36"/>
    <x v="4"/>
    <s v="Testing"/>
    <x v="0"/>
    <s v="Smartphone"/>
    <x v="1"/>
    <s v="2025-03-20"/>
    <n v="2185"/>
    <n v="1493"/>
    <n v="62847"/>
    <s v="Shipped"/>
    <s v="Completed"/>
    <n v="93830571"/>
    <n v="938"/>
    <n v="692"/>
    <x v="3"/>
    <n v="2025"/>
  </r>
  <r>
    <n v="37"/>
    <x v="0"/>
    <s v="Testing"/>
    <x v="0"/>
    <s v="Smartphone"/>
    <x v="2"/>
    <s v="2025-09-18"/>
    <n v="897"/>
    <n v="756"/>
    <n v="105721"/>
    <s v="Shipped"/>
    <s v="In Progress"/>
    <n v="79925076"/>
    <n v="799"/>
    <n v="141"/>
    <x v="9"/>
    <n v="2025"/>
  </r>
  <r>
    <n v="38"/>
    <x v="1"/>
    <s v="Packaging"/>
    <x v="0"/>
    <s v="Smartphone"/>
    <x v="1"/>
    <s v="2025-03-18"/>
    <n v="3060"/>
    <n v="2568"/>
    <n v="46919"/>
    <s v="Shipped"/>
    <s v="In Progress"/>
    <n v="120487992"/>
    <n v="1205"/>
    <n v="492"/>
    <x v="3"/>
    <n v="2025"/>
  </r>
  <r>
    <n v="39"/>
    <x v="1"/>
    <s v="Assembly"/>
    <x v="0"/>
    <s v="Smartphone"/>
    <x v="2"/>
    <s v="2025-05-09"/>
    <n v="4699"/>
    <n v="3900"/>
    <n v="68911"/>
    <s v="Pending"/>
    <s v="In Progress"/>
    <n v="268752900"/>
    <n v="2688"/>
    <n v="799"/>
    <x v="5"/>
    <n v="2025"/>
  </r>
  <r>
    <n v="40"/>
    <x v="1"/>
    <s v="Assembly"/>
    <x v="0"/>
    <s v="Smartphone"/>
    <x v="0"/>
    <s v="2025-05-13"/>
    <n v="2257"/>
    <n v="1748"/>
    <n v="33576"/>
    <s v="Shipped"/>
    <s v="In Progress"/>
    <n v="58690848"/>
    <n v="587"/>
    <n v="509"/>
    <x v="5"/>
    <n v="2025"/>
  </r>
  <r>
    <n v="41"/>
    <x v="0"/>
    <s v="Manufacturing"/>
    <x v="0"/>
    <s v="Smartphone"/>
    <x v="0"/>
    <s v="2025-10-31"/>
    <n v="4319"/>
    <n v="4115"/>
    <n v="114579"/>
    <s v="Shipped"/>
    <s v="In Progress"/>
    <n v="471492585"/>
    <n v="4715"/>
    <n v="204"/>
    <x v="1"/>
    <n v="2025"/>
  </r>
  <r>
    <n v="42"/>
    <x v="2"/>
    <s v="Testing"/>
    <x v="0"/>
    <s v="Smartphone"/>
    <x v="0"/>
    <s v="2025-09-26"/>
    <n v="4760"/>
    <n v="3914"/>
    <n v="46518"/>
    <s v="In Transit"/>
    <s v="In Progress"/>
    <n v="182071452"/>
    <n v="1821"/>
    <n v="846"/>
    <x v="9"/>
    <n v="2025"/>
  </r>
  <r>
    <n v="43"/>
    <x v="2"/>
    <s v="Packaging"/>
    <x v="0"/>
    <s v="Smartphone"/>
    <x v="2"/>
    <s v="2025-05-20"/>
    <n v="1849"/>
    <n v="1477"/>
    <n v="67860"/>
    <s v="Pending"/>
    <s v="Completed"/>
    <n v="100229220"/>
    <n v="1002"/>
    <n v="372"/>
    <x v="5"/>
    <n v="2025"/>
  </r>
  <r>
    <n v="44"/>
    <x v="3"/>
    <s v="Manufacturing"/>
    <x v="0"/>
    <s v="Smartphone"/>
    <x v="0"/>
    <s v="2025-08-30"/>
    <n v="2599"/>
    <n v="2114"/>
    <n v="66780"/>
    <s v="Shipped"/>
    <s v="Completed"/>
    <n v="141172920"/>
    <n v="1412"/>
    <n v="485"/>
    <x v="2"/>
    <n v="2025"/>
  </r>
  <r>
    <n v="45"/>
    <x v="0"/>
    <s v="Testing"/>
    <x v="0"/>
    <s v="Smartphone"/>
    <x v="2"/>
    <s v="2025-04-19"/>
    <n v="2320"/>
    <n v="2290"/>
    <n v="67343"/>
    <s v="Pending"/>
    <s v="Completed"/>
    <n v="154215470"/>
    <n v="1542"/>
    <n v="30"/>
    <x v="11"/>
    <n v="2025"/>
  </r>
  <r>
    <n v="46"/>
    <x v="2"/>
    <s v="Assembly"/>
    <x v="0"/>
    <s v="Smartphone"/>
    <x v="2"/>
    <s v="2025-06-13"/>
    <n v="3365"/>
    <n v="2360"/>
    <n v="31586"/>
    <s v="Shipped"/>
    <s v="Completed"/>
    <n v="74542960"/>
    <n v="745"/>
    <n v="1005"/>
    <x v="7"/>
    <n v="2025"/>
  </r>
  <r>
    <n v="47"/>
    <x v="4"/>
    <s v="Assembly"/>
    <x v="0"/>
    <s v="Smartphone"/>
    <x v="0"/>
    <s v="2025-03-11"/>
    <n v="3261"/>
    <n v="2469"/>
    <n v="117016"/>
    <s v="Shipped"/>
    <s v="In Progress"/>
    <n v="288912504"/>
    <n v="2889"/>
    <n v="792"/>
    <x v="3"/>
    <n v="2025"/>
  </r>
  <r>
    <n v="48"/>
    <x v="2"/>
    <s v="Manufacturing"/>
    <x v="0"/>
    <s v="Smartphone"/>
    <x v="2"/>
    <s v="2025-07-30"/>
    <n v="1719"/>
    <n v="1151"/>
    <n v="53303"/>
    <s v="In Transit"/>
    <s v="In Progress"/>
    <n v="61351753"/>
    <n v="614"/>
    <n v="568"/>
    <x v="4"/>
    <n v="2025"/>
  </r>
  <r>
    <n v="49"/>
    <x v="4"/>
    <s v="Assembly"/>
    <x v="0"/>
    <s v="Smartphone"/>
    <x v="2"/>
    <s v="2025-06-17"/>
    <n v="3842"/>
    <n v="2584"/>
    <n v="70554"/>
    <s v="In Transit"/>
    <s v="In Progress"/>
    <n v="182311536"/>
    <n v="1823"/>
    <n v="1258"/>
    <x v="7"/>
    <n v="2025"/>
  </r>
  <r>
    <n v="50"/>
    <x v="3"/>
    <s v="Testing"/>
    <x v="0"/>
    <s v="Smartphone"/>
    <x v="0"/>
    <s v="2025-01-29"/>
    <n v="3003"/>
    <n v="1884"/>
    <n v="41580"/>
    <s v="In Transit"/>
    <s v="In Progress"/>
    <n v="78336720"/>
    <n v="783"/>
    <n v="1119"/>
    <x v="6"/>
    <n v="2025"/>
  </r>
  <r>
    <n v="51"/>
    <x v="1"/>
    <s v="Assembly"/>
    <x v="0"/>
    <s v="Smartphone"/>
    <x v="1"/>
    <s v="2025-03-28"/>
    <n v="3091"/>
    <n v="3061"/>
    <n v="30900"/>
    <s v="Shipped"/>
    <s v="Completed"/>
    <n v="94584900"/>
    <n v="946"/>
    <n v="30"/>
    <x v="3"/>
    <n v="2025"/>
  </r>
  <r>
    <n v="52"/>
    <x v="5"/>
    <s v="Packaging"/>
    <x v="0"/>
    <s v="Smartphone"/>
    <x v="1"/>
    <s v="2025-08-07"/>
    <n v="1015"/>
    <n v="673"/>
    <n v="62569"/>
    <s v="Shipped"/>
    <s v="In Progress"/>
    <n v="42108937"/>
    <n v="421"/>
    <n v="342"/>
    <x v="2"/>
    <n v="2025"/>
  </r>
  <r>
    <n v="53"/>
    <x v="5"/>
    <s v="Testing"/>
    <x v="0"/>
    <s v="Smartphone"/>
    <x v="1"/>
    <s v="2025-02-06"/>
    <n v="3608"/>
    <n v="2407"/>
    <n v="48615"/>
    <s v="In Transit"/>
    <s v="In Progress"/>
    <n v="117016305"/>
    <n v="1170"/>
    <n v="1201"/>
    <x v="0"/>
    <n v="2025"/>
  </r>
  <r>
    <n v="54"/>
    <x v="1"/>
    <s v="Testing"/>
    <x v="0"/>
    <s v="Smartphone"/>
    <x v="1"/>
    <s v="2025-06-29"/>
    <n v="4400"/>
    <n v="3146"/>
    <n v="53462"/>
    <s v="Pending"/>
    <s v="Completed"/>
    <n v="168191452"/>
    <n v="1682"/>
    <n v="1254"/>
    <x v="7"/>
    <n v="2025"/>
  </r>
  <r>
    <n v="55"/>
    <x v="1"/>
    <s v="Assembly"/>
    <x v="0"/>
    <s v="Smartphone"/>
    <x v="0"/>
    <s v="2025-02-04"/>
    <n v="4009"/>
    <n v="3805"/>
    <n v="113250"/>
    <s v="In Transit"/>
    <s v="In Progress"/>
    <n v="430916250"/>
    <n v="4309"/>
    <n v="204"/>
    <x v="0"/>
    <n v="2025"/>
  </r>
  <r>
    <n v="56"/>
    <x v="0"/>
    <s v="Testing"/>
    <x v="0"/>
    <s v="Smartphone"/>
    <x v="0"/>
    <s v="2025-12-12"/>
    <n v="4658"/>
    <n v="2982"/>
    <n v="115861"/>
    <s v="In Transit"/>
    <s v="Completed"/>
    <n v="345497502"/>
    <n v="3455"/>
    <n v="1676"/>
    <x v="8"/>
    <n v="2025"/>
  </r>
  <r>
    <n v="57"/>
    <x v="4"/>
    <s v="Testing"/>
    <x v="0"/>
    <s v="Smartphone"/>
    <x v="1"/>
    <s v="2025-04-18"/>
    <n v="4907"/>
    <n v="3017"/>
    <n v="83238"/>
    <s v="In Transit"/>
    <s v="Completed"/>
    <n v="251129046"/>
    <n v="2511"/>
    <n v="1890"/>
    <x v="11"/>
    <n v="2025"/>
  </r>
  <r>
    <n v="58"/>
    <x v="3"/>
    <s v="Manufacturing"/>
    <x v="0"/>
    <s v="Smartphone"/>
    <x v="2"/>
    <s v="2025-11-13"/>
    <n v="1329"/>
    <n v="832"/>
    <n v="96946"/>
    <s v="In Transit"/>
    <s v="In Progress"/>
    <n v="80659072"/>
    <n v="807"/>
    <n v="497"/>
    <x v="10"/>
    <n v="2025"/>
  </r>
  <r>
    <n v="59"/>
    <x v="2"/>
    <s v="Testing"/>
    <x v="0"/>
    <s v="Smartphone"/>
    <x v="1"/>
    <s v="2025-08-03"/>
    <n v="2621"/>
    <n v="1921"/>
    <n v="73247"/>
    <s v="Pending"/>
    <s v="Completed"/>
    <n v="140707487"/>
    <n v="1407"/>
    <n v="700"/>
    <x v="2"/>
    <n v="2025"/>
  </r>
  <r>
    <n v="60"/>
    <x v="3"/>
    <s v="Testing"/>
    <x v="0"/>
    <s v="Smartphone"/>
    <x v="1"/>
    <s v="2025-01-15"/>
    <n v="4198"/>
    <n v="4172"/>
    <n v="29307"/>
    <s v="Shipped"/>
    <s v="Completed"/>
    <n v="122268804"/>
    <n v="1223"/>
    <n v="26"/>
    <x v="6"/>
    <n v="2025"/>
  </r>
  <r>
    <n v="61"/>
    <x v="4"/>
    <s v="Manufacturing"/>
    <x v="1"/>
    <s v="Smartphone"/>
    <x v="3"/>
    <s v="2025-03-27"/>
    <n v="2335"/>
    <n v="2237"/>
    <n v="44124"/>
    <s v="Pending"/>
    <s v="Completed"/>
    <n v="98705388"/>
    <n v="987"/>
    <n v="98"/>
    <x v="3"/>
    <n v="2025"/>
  </r>
  <r>
    <n v="62"/>
    <x v="2"/>
    <s v="Testing"/>
    <x v="1"/>
    <s v="Smartphone"/>
    <x v="4"/>
    <s v="2025-11-23"/>
    <n v="2998"/>
    <n v="2046"/>
    <n v="96244"/>
    <s v="Pending"/>
    <s v="Completed"/>
    <n v="196915224"/>
    <n v="1969"/>
    <n v="952"/>
    <x v="10"/>
    <n v="2025"/>
  </r>
  <r>
    <n v="63"/>
    <x v="0"/>
    <s v="Manufacturing"/>
    <x v="1"/>
    <s v="Smartphone"/>
    <x v="3"/>
    <s v="2025-08-19"/>
    <n v="1238"/>
    <n v="872"/>
    <n v="110413"/>
    <s v="In Transit"/>
    <s v="Completed"/>
    <n v="96280136"/>
    <n v="963"/>
    <n v="366"/>
    <x v="2"/>
    <n v="2025"/>
  </r>
  <r>
    <n v="64"/>
    <x v="1"/>
    <s v="Assembly"/>
    <x v="1"/>
    <s v="Smartphone"/>
    <x v="3"/>
    <s v="2025-10-08"/>
    <n v="3946"/>
    <n v="2563"/>
    <n v="97923"/>
    <s v="Pending"/>
    <s v="Completed"/>
    <n v="250976649"/>
    <n v="2510"/>
    <n v="1383"/>
    <x v="1"/>
    <n v="2025"/>
  </r>
  <r>
    <n v="65"/>
    <x v="1"/>
    <s v="Packaging"/>
    <x v="1"/>
    <s v="Smartphone"/>
    <x v="3"/>
    <s v="2025-08-25"/>
    <n v="739"/>
    <n v="735"/>
    <n v="87242"/>
    <s v="Pending"/>
    <s v="In Progress"/>
    <n v="64122870"/>
    <n v="641"/>
    <n v="4"/>
    <x v="2"/>
    <n v="2025"/>
  </r>
  <r>
    <n v="66"/>
    <x v="1"/>
    <s v="Packaging"/>
    <x v="1"/>
    <s v="Smartphone"/>
    <x v="3"/>
    <s v="2025-08-28"/>
    <n v="4423"/>
    <n v="3783"/>
    <n v="57138"/>
    <s v="In Transit"/>
    <s v="Completed"/>
    <n v="216153054"/>
    <n v="2162"/>
    <n v="640"/>
    <x v="2"/>
    <n v="2025"/>
  </r>
  <r>
    <n v="67"/>
    <x v="3"/>
    <s v="Testing"/>
    <x v="1"/>
    <s v="Smartphone"/>
    <x v="3"/>
    <s v="2025-08-25"/>
    <n v="2432"/>
    <n v="1736"/>
    <n v="45050"/>
    <s v="Shipped"/>
    <s v="In Progress"/>
    <n v="78206800"/>
    <n v="782"/>
    <n v="696"/>
    <x v="2"/>
    <n v="2025"/>
  </r>
  <r>
    <n v="68"/>
    <x v="2"/>
    <s v="Testing"/>
    <x v="1"/>
    <s v="Smartphone"/>
    <x v="4"/>
    <s v="2025-12-08"/>
    <n v="2603"/>
    <n v="2407"/>
    <n v="104598"/>
    <s v="Pending"/>
    <s v="Completed"/>
    <n v="251767386"/>
    <n v="2518"/>
    <n v="196"/>
    <x v="8"/>
    <n v="2025"/>
  </r>
  <r>
    <n v="70"/>
    <x v="5"/>
    <s v="Packaging"/>
    <x v="1"/>
    <s v="Smartphone"/>
    <x v="4"/>
    <s v="2025-02-09"/>
    <n v="3049"/>
    <n v="2976"/>
    <n v="57913"/>
    <s v="In Transit"/>
    <s v="In Progress"/>
    <n v="172349088"/>
    <n v="1723"/>
    <n v="73"/>
    <x v="0"/>
    <n v="2025"/>
  </r>
  <r>
    <n v="71"/>
    <x v="1"/>
    <s v="Testing"/>
    <x v="1"/>
    <s v="Smartphone"/>
    <x v="3"/>
    <s v="2025-09-27"/>
    <n v="4066"/>
    <n v="3216"/>
    <n v="85071"/>
    <s v="Pending"/>
    <s v="Completed"/>
    <n v="273588336"/>
    <n v="2736"/>
    <n v="850"/>
    <x v="9"/>
    <n v="2025"/>
  </r>
  <r>
    <n v="72"/>
    <x v="4"/>
    <s v="Packaging"/>
    <x v="1"/>
    <s v="Smartphone"/>
    <x v="3"/>
    <s v="2025-12-14"/>
    <n v="4685"/>
    <n v="3175"/>
    <n v="93915"/>
    <s v="Shipped"/>
    <s v="Completed"/>
    <n v="298180125"/>
    <n v="2982"/>
    <n v="1510"/>
    <x v="8"/>
    <n v="2025"/>
  </r>
  <r>
    <n v="73"/>
    <x v="3"/>
    <s v="Manufacturing"/>
    <x v="1"/>
    <s v="Smartphone"/>
    <x v="4"/>
    <s v="2025-12-29"/>
    <n v="2652"/>
    <n v="2359"/>
    <n v="87314"/>
    <s v="In Transit"/>
    <s v="In Progress"/>
    <n v="205973726"/>
    <n v="2060"/>
    <n v="293"/>
    <x v="8"/>
    <n v="2025"/>
  </r>
  <r>
    <n v="74"/>
    <x v="5"/>
    <s v="Assembly"/>
    <x v="1"/>
    <s v="Smartphone"/>
    <x v="5"/>
    <s v="2025-10-30"/>
    <n v="3426"/>
    <n v="2703"/>
    <n v="18687"/>
    <s v="Pending"/>
    <s v="Completed"/>
    <n v="50510961"/>
    <n v="505"/>
    <n v="723"/>
    <x v="1"/>
    <n v="2025"/>
  </r>
  <r>
    <n v="75"/>
    <x v="0"/>
    <s v="Testing"/>
    <x v="1"/>
    <s v="Smartphone"/>
    <x v="4"/>
    <s v="2025-02-03"/>
    <n v="2960"/>
    <n v="2184"/>
    <n v="81256"/>
    <s v="In Transit"/>
    <s v="Completed"/>
    <n v="177463104"/>
    <n v="1775"/>
    <n v="776"/>
    <x v="0"/>
    <n v="2025"/>
  </r>
  <r>
    <n v="76"/>
    <x v="1"/>
    <s v="Packaging"/>
    <x v="1"/>
    <s v="Smartphone"/>
    <x v="4"/>
    <s v="2025-07-08"/>
    <n v="1552"/>
    <n v="1067"/>
    <n v="23884"/>
    <s v="Shipped"/>
    <s v="Completed"/>
    <n v="25484228"/>
    <n v="255"/>
    <n v="485"/>
    <x v="4"/>
    <n v="2025"/>
  </r>
  <r>
    <n v="77"/>
    <x v="4"/>
    <s v="Packaging"/>
    <x v="1"/>
    <s v="Smartphone"/>
    <x v="4"/>
    <s v="2025-02-27"/>
    <n v="1408"/>
    <n v="1261"/>
    <n v="67153"/>
    <s v="In Transit"/>
    <s v="In Progress"/>
    <n v="84679933"/>
    <n v="847"/>
    <n v="147"/>
    <x v="0"/>
    <n v="2025"/>
  </r>
  <r>
    <n v="78"/>
    <x v="2"/>
    <s v="Assembly"/>
    <x v="1"/>
    <s v="Smartphone"/>
    <x v="4"/>
    <s v="2025-08-26"/>
    <n v="1688"/>
    <n v="1362"/>
    <n v="85629"/>
    <s v="In Transit"/>
    <s v="In Progress"/>
    <n v="116626698"/>
    <n v="1166"/>
    <n v="326"/>
    <x v="2"/>
    <n v="2025"/>
  </r>
  <r>
    <n v="79"/>
    <x v="0"/>
    <s v="Assembly"/>
    <x v="1"/>
    <s v="Smartphone"/>
    <x v="5"/>
    <s v="2025-08-27"/>
    <n v="4465"/>
    <n v="3637"/>
    <n v="93822"/>
    <s v="Shipped"/>
    <s v="Completed"/>
    <n v="341230614"/>
    <n v="3412"/>
    <n v="828"/>
    <x v="2"/>
    <n v="2025"/>
  </r>
  <r>
    <n v="80"/>
    <x v="3"/>
    <s v="Manufacturing"/>
    <x v="1"/>
    <s v="Smartphone"/>
    <x v="5"/>
    <s v="2025-03-18"/>
    <n v="2402"/>
    <n v="2242"/>
    <n v="110059"/>
    <s v="Pending"/>
    <s v="In Progress"/>
    <n v="246752278"/>
    <n v="2468"/>
    <n v="160"/>
    <x v="3"/>
    <n v="2025"/>
  </r>
  <r>
    <n v="81"/>
    <x v="4"/>
    <s v="Assembly"/>
    <x v="1"/>
    <s v="Smartphone"/>
    <x v="3"/>
    <s v="2025-12-18"/>
    <n v="2196"/>
    <n v="1996"/>
    <n v="34593"/>
    <s v="Pending"/>
    <s v="Completed"/>
    <n v="69047628"/>
    <n v="690"/>
    <n v="200"/>
    <x v="8"/>
    <n v="2025"/>
  </r>
  <r>
    <n v="82"/>
    <x v="3"/>
    <s v="Packaging"/>
    <x v="1"/>
    <s v="Smartphone"/>
    <x v="3"/>
    <s v="2025-09-07"/>
    <n v="4741"/>
    <n v="4472"/>
    <n v="77993"/>
    <s v="In Transit"/>
    <s v="In Progress"/>
    <n v="348784696"/>
    <n v="3488"/>
    <n v="269"/>
    <x v="9"/>
    <n v="2025"/>
  </r>
  <r>
    <n v="83"/>
    <x v="2"/>
    <s v="Testing"/>
    <x v="1"/>
    <s v="Smartphone"/>
    <x v="5"/>
    <s v="2025-10-21"/>
    <n v="3980"/>
    <n v="2680"/>
    <n v="119686"/>
    <s v="Shipped"/>
    <s v="In Progress"/>
    <n v="320758480"/>
    <n v="3208"/>
    <n v="1300"/>
    <x v="1"/>
    <n v="2025"/>
  </r>
  <r>
    <n v="84"/>
    <x v="4"/>
    <s v="Packaging"/>
    <x v="1"/>
    <s v="Smartphone"/>
    <x v="3"/>
    <s v="2025-11-08"/>
    <n v="4968"/>
    <n v="4477"/>
    <n v="26266"/>
    <s v="In Transit"/>
    <s v="In Progress"/>
    <n v="117592882"/>
    <n v="1176"/>
    <n v="491"/>
    <x v="10"/>
    <n v="2025"/>
  </r>
  <r>
    <n v="85"/>
    <x v="0"/>
    <s v="Manufacturing"/>
    <x v="1"/>
    <s v="Smartphone"/>
    <x v="4"/>
    <s v="2025-08-21"/>
    <n v="1993"/>
    <n v="1646"/>
    <n v="35805"/>
    <s v="Pending"/>
    <s v="Completed"/>
    <n v="58935030"/>
    <n v="589"/>
    <n v="347"/>
    <x v="2"/>
    <n v="2025"/>
  </r>
  <r>
    <n v="86"/>
    <x v="1"/>
    <s v="Testing"/>
    <x v="1"/>
    <s v="Smartphone"/>
    <x v="5"/>
    <s v="2025-08-28"/>
    <n v="2948"/>
    <n v="2081"/>
    <n v="103400"/>
    <s v="In Transit"/>
    <s v="In Progress"/>
    <n v="215175400"/>
    <n v="2152"/>
    <n v="867"/>
    <x v="2"/>
    <n v="2025"/>
  </r>
  <r>
    <n v="87"/>
    <x v="0"/>
    <s v="Assembly"/>
    <x v="1"/>
    <s v="Smartphone"/>
    <x v="4"/>
    <s v="2025-02-07"/>
    <n v="4480"/>
    <n v="3047"/>
    <n v="27747"/>
    <s v="In Transit"/>
    <s v="Completed"/>
    <n v="84545109"/>
    <n v="845"/>
    <n v="1433"/>
    <x v="0"/>
    <n v="2025"/>
  </r>
  <r>
    <n v="88"/>
    <x v="0"/>
    <s v="Manufacturing"/>
    <x v="1"/>
    <s v="Smartphone"/>
    <x v="3"/>
    <s v="2025-01-22"/>
    <n v="2311"/>
    <n v="1525"/>
    <n v="112043"/>
    <s v="Pending"/>
    <s v="Completed"/>
    <n v="170865575"/>
    <n v="1709"/>
    <n v="786"/>
    <x v="6"/>
    <n v="2025"/>
  </r>
  <r>
    <n v="89"/>
    <x v="0"/>
    <s v="Packaging"/>
    <x v="1"/>
    <s v="Smartphone"/>
    <x v="4"/>
    <s v="2025-02-20"/>
    <n v="2271"/>
    <n v="1852"/>
    <n v="110338"/>
    <s v="Pending"/>
    <s v="In Progress"/>
    <n v="204345976"/>
    <n v="2043"/>
    <n v="419"/>
    <x v="0"/>
    <n v="2025"/>
  </r>
  <r>
    <n v="90"/>
    <x v="3"/>
    <s v="Manufacturing"/>
    <x v="1"/>
    <s v="Smartphone"/>
    <x v="5"/>
    <s v="2025-10-29"/>
    <n v="4288"/>
    <n v="4100"/>
    <n v="114826"/>
    <s v="Pending"/>
    <s v="Completed"/>
    <n v="470786600"/>
    <n v="4708"/>
    <n v="188"/>
    <x v="1"/>
    <n v="2025"/>
  </r>
  <r>
    <n v="91"/>
    <x v="4"/>
    <s v="Packaging"/>
    <x v="1"/>
    <s v="Smartphone"/>
    <x v="3"/>
    <s v="2025-10-09"/>
    <n v="2944"/>
    <n v="2269"/>
    <n v="68188"/>
    <s v="In Transit"/>
    <s v="Completed"/>
    <n v="154718572"/>
    <n v="1547"/>
    <n v="675"/>
    <x v="1"/>
    <n v="2025"/>
  </r>
  <r>
    <n v="92"/>
    <x v="2"/>
    <s v="Assembly"/>
    <x v="1"/>
    <s v="Smartphone"/>
    <x v="5"/>
    <s v="2025-09-16"/>
    <n v="3723"/>
    <n v="2701"/>
    <n v="113804"/>
    <s v="Shipped"/>
    <s v="Completed"/>
    <n v="307384604"/>
    <n v="3074"/>
    <n v="1022"/>
    <x v="9"/>
    <n v="2025"/>
  </r>
  <r>
    <n v="93"/>
    <x v="1"/>
    <s v="Testing"/>
    <x v="1"/>
    <s v="Smartphone"/>
    <x v="4"/>
    <s v="2025-02-13"/>
    <n v="1743"/>
    <n v="1459"/>
    <n v="108976"/>
    <s v="In Transit"/>
    <s v="Completed"/>
    <n v="158995984"/>
    <n v="1590"/>
    <n v="284"/>
    <x v="0"/>
    <n v="2025"/>
  </r>
  <r>
    <n v="94"/>
    <x v="3"/>
    <s v="Packaging"/>
    <x v="1"/>
    <s v="Smartphone"/>
    <x v="5"/>
    <s v="2025-02-22"/>
    <n v="957"/>
    <n v="810"/>
    <n v="104464"/>
    <s v="Pending"/>
    <s v="Completed"/>
    <n v="84615840"/>
    <n v="846"/>
    <n v="147"/>
    <x v="0"/>
    <n v="2025"/>
  </r>
  <r>
    <n v="95"/>
    <x v="2"/>
    <s v="Testing"/>
    <x v="1"/>
    <s v="Smartphone"/>
    <x v="3"/>
    <s v="2025-12-18"/>
    <n v="2999"/>
    <n v="2651"/>
    <n v="98178"/>
    <s v="Shipped"/>
    <s v="Completed"/>
    <n v="260269878"/>
    <n v="2603"/>
    <n v="348"/>
    <x v="8"/>
    <n v="2025"/>
  </r>
  <r>
    <n v="96"/>
    <x v="0"/>
    <s v="Assembly"/>
    <x v="1"/>
    <s v="Smartphone"/>
    <x v="3"/>
    <s v="2025-06-29"/>
    <n v="4048"/>
    <n v="2694"/>
    <n v="48109"/>
    <s v="Shipped"/>
    <s v="In Progress"/>
    <n v="129605646"/>
    <n v="1296"/>
    <n v="1354"/>
    <x v="7"/>
    <n v="2025"/>
  </r>
  <r>
    <n v="97"/>
    <x v="2"/>
    <s v="Assembly"/>
    <x v="1"/>
    <s v="Smartphone"/>
    <x v="3"/>
    <s v="2025-01-14"/>
    <n v="633"/>
    <n v="437"/>
    <n v="90994"/>
    <s v="Shipped"/>
    <s v="Completed"/>
    <n v="39764378"/>
    <n v="398"/>
    <n v="196"/>
    <x v="6"/>
    <n v="2025"/>
  </r>
  <r>
    <n v="98"/>
    <x v="4"/>
    <s v="Manufacturing"/>
    <x v="1"/>
    <s v="Smartphone"/>
    <x v="3"/>
    <s v="2025-08-16"/>
    <n v="3335"/>
    <n v="2818"/>
    <n v="39790"/>
    <s v="Shipped"/>
    <s v="In Progress"/>
    <n v="112128220"/>
    <n v="1121"/>
    <n v="517"/>
    <x v="2"/>
    <n v="2025"/>
  </r>
  <r>
    <n v="99"/>
    <x v="3"/>
    <s v="Manufacturing"/>
    <x v="1"/>
    <s v="Smartphone"/>
    <x v="5"/>
    <s v="2025-05-21"/>
    <n v="839"/>
    <n v="762"/>
    <n v="112048"/>
    <s v="Shipped"/>
    <s v="Completed"/>
    <n v="85380576"/>
    <n v="854"/>
    <n v="77"/>
    <x v="5"/>
    <n v="2025"/>
  </r>
  <r>
    <n v="100"/>
    <x v="1"/>
    <s v="Assembly"/>
    <x v="1"/>
    <s v="Smartphone"/>
    <x v="3"/>
    <s v="2025-10-07"/>
    <n v="577"/>
    <n v="548"/>
    <n v="57327"/>
    <s v="Pending"/>
    <s v="Completed"/>
    <n v="31415196"/>
    <n v="314"/>
    <n v="29"/>
    <x v="1"/>
    <n v="2025"/>
  </r>
  <r>
    <n v="101"/>
    <x v="4"/>
    <s v="Assembly"/>
    <x v="1"/>
    <s v="Smartphone"/>
    <x v="4"/>
    <s v="2025-04-09"/>
    <n v="3654"/>
    <n v="2884"/>
    <n v="62853"/>
    <s v="In Transit"/>
    <s v="In Progress"/>
    <n v="181268052"/>
    <n v="1813"/>
    <n v="770"/>
    <x v="11"/>
    <n v="2025"/>
  </r>
  <r>
    <n v="103"/>
    <x v="2"/>
    <s v="Testing"/>
    <x v="1"/>
    <s v="Smartphone"/>
    <x v="3"/>
    <s v="2025-02-18"/>
    <n v="2175"/>
    <n v="1730"/>
    <n v="49578"/>
    <s v="Shipped"/>
    <s v="In Progress"/>
    <n v="85769940"/>
    <n v="858"/>
    <n v="445"/>
    <x v="0"/>
    <n v="2025"/>
  </r>
  <r>
    <n v="104"/>
    <x v="2"/>
    <s v="Manufacturing"/>
    <x v="1"/>
    <s v="Smartphone"/>
    <x v="5"/>
    <s v="2025-04-22"/>
    <n v="4449"/>
    <n v="3876"/>
    <n v="114836"/>
    <s v="Shipped"/>
    <s v="Completed"/>
    <n v="445104336"/>
    <n v="4451"/>
    <n v="573"/>
    <x v="11"/>
    <n v="2025"/>
  </r>
  <r>
    <n v="105"/>
    <x v="3"/>
    <s v="Assembly"/>
    <x v="1"/>
    <s v="Smartphone"/>
    <x v="4"/>
    <s v="2025-01-25"/>
    <n v="1857"/>
    <n v="1159"/>
    <n v="74711"/>
    <s v="In Transit"/>
    <s v="Completed"/>
    <n v="86590049"/>
    <n v="866"/>
    <n v="698"/>
    <x v="6"/>
    <n v="2025"/>
  </r>
  <r>
    <n v="106"/>
    <x v="4"/>
    <s v="Testing"/>
    <x v="1"/>
    <s v="Smartphone"/>
    <x v="3"/>
    <s v="2025-09-17"/>
    <n v="3355"/>
    <n v="3135"/>
    <n v="119444"/>
    <s v="Shipped"/>
    <s v="Completed"/>
    <n v="374456940"/>
    <n v="3745"/>
    <n v="220"/>
    <x v="9"/>
    <n v="2025"/>
  </r>
  <r>
    <n v="107"/>
    <x v="1"/>
    <s v="Manufacturing"/>
    <x v="1"/>
    <s v="Smartphone"/>
    <x v="3"/>
    <s v="2025-04-29"/>
    <n v="961"/>
    <n v="940"/>
    <n v="33740"/>
    <s v="Pending"/>
    <s v="In Progress"/>
    <n v="31715600"/>
    <n v="317"/>
    <n v="21"/>
    <x v="11"/>
    <n v="2025"/>
  </r>
  <r>
    <n v="108"/>
    <x v="3"/>
    <s v="Packaging"/>
    <x v="1"/>
    <s v="Smartphone"/>
    <x v="3"/>
    <s v="2025-02-19"/>
    <n v="1352"/>
    <n v="879"/>
    <n v="118757"/>
    <s v="In Transit"/>
    <s v="In Progress"/>
    <n v="104387403"/>
    <n v="1044"/>
    <n v="473"/>
    <x v="0"/>
    <n v="2025"/>
  </r>
  <r>
    <n v="109"/>
    <x v="0"/>
    <s v="Packaging"/>
    <x v="1"/>
    <s v="Smartphone"/>
    <x v="3"/>
    <s v="2025-03-15"/>
    <n v="4987"/>
    <n v="2997"/>
    <n v="116883"/>
    <s v="Shipped"/>
    <s v="Completed"/>
    <n v="350298351"/>
    <n v="3503"/>
    <n v="1990"/>
    <x v="3"/>
    <n v="2025"/>
  </r>
  <r>
    <n v="110"/>
    <x v="4"/>
    <s v="Assembly"/>
    <x v="1"/>
    <s v="Smartphone"/>
    <x v="3"/>
    <s v="2025-10-20"/>
    <n v="2392"/>
    <n v="1717"/>
    <n v="119801"/>
    <s v="In Transit"/>
    <s v="In Progress"/>
    <n v="205698317"/>
    <n v="2057"/>
    <n v="675"/>
    <x v="1"/>
    <n v="2025"/>
  </r>
  <r>
    <n v="111"/>
    <x v="3"/>
    <s v="Assembly"/>
    <x v="1"/>
    <s v="Smartphone"/>
    <x v="4"/>
    <s v="2025-04-11"/>
    <n v="4524"/>
    <n v="3595"/>
    <n v="19128"/>
    <s v="In Transit"/>
    <s v="In Progress"/>
    <n v="68765160"/>
    <n v="688"/>
    <n v="929"/>
    <x v="11"/>
    <n v="2025"/>
  </r>
  <r>
    <n v="112"/>
    <x v="3"/>
    <s v="Testing"/>
    <x v="1"/>
    <s v="Smartphone"/>
    <x v="5"/>
    <s v="2025-07-09"/>
    <n v="935"/>
    <n v="692"/>
    <n v="26904"/>
    <s v="In Transit"/>
    <s v="In Progress"/>
    <n v="18617568"/>
    <n v="186"/>
    <n v="243"/>
    <x v="4"/>
    <n v="2025"/>
  </r>
  <r>
    <n v="113"/>
    <x v="4"/>
    <s v="Testing"/>
    <x v="1"/>
    <s v="Smartphone"/>
    <x v="4"/>
    <s v="2025-11-14"/>
    <n v="890"/>
    <n v="652"/>
    <n v="84955"/>
    <s v="Pending"/>
    <s v="Completed"/>
    <n v="55390660"/>
    <n v="554"/>
    <n v="238"/>
    <x v="10"/>
    <n v="2025"/>
  </r>
  <r>
    <n v="114"/>
    <x v="5"/>
    <s v="Manufacturing"/>
    <x v="1"/>
    <s v="Smartphone"/>
    <x v="3"/>
    <s v="2025-05-27"/>
    <n v="3471"/>
    <n v="3363"/>
    <n v="52413"/>
    <s v="In Transit"/>
    <s v="Completed"/>
    <n v="176264919"/>
    <n v="1763"/>
    <n v="108"/>
    <x v="5"/>
    <n v="2025"/>
  </r>
  <r>
    <n v="115"/>
    <x v="0"/>
    <s v="Manufacturing"/>
    <x v="1"/>
    <s v="Smartphone"/>
    <x v="5"/>
    <s v="2025-11-05"/>
    <n v="4409"/>
    <n v="4382"/>
    <n v="97309"/>
    <s v="In Transit"/>
    <s v="Completed"/>
    <n v="426408038"/>
    <n v="4264"/>
    <n v="27"/>
    <x v="10"/>
    <n v="2025"/>
  </r>
  <r>
    <n v="116"/>
    <x v="0"/>
    <s v="Packaging"/>
    <x v="1"/>
    <s v="Smartphone"/>
    <x v="5"/>
    <s v="2025-04-08"/>
    <n v="513"/>
    <n v="389"/>
    <n v="44498"/>
    <s v="Shipped"/>
    <s v="Completed"/>
    <n v="17309722"/>
    <n v="173"/>
    <n v="124"/>
    <x v="11"/>
    <n v="2025"/>
  </r>
  <r>
    <n v="117"/>
    <x v="0"/>
    <s v="Packaging"/>
    <x v="1"/>
    <s v="Smartphone"/>
    <x v="5"/>
    <s v="2025-05-25"/>
    <n v="4984"/>
    <n v="3699"/>
    <n v="61691"/>
    <s v="Pending"/>
    <s v="In Progress"/>
    <n v="228195009"/>
    <n v="2282"/>
    <n v="1285"/>
    <x v="5"/>
    <n v="2025"/>
  </r>
  <r>
    <n v="118"/>
    <x v="3"/>
    <s v="Manufacturing"/>
    <x v="1"/>
    <s v="Smartphone"/>
    <x v="3"/>
    <s v="2025-05-28"/>
    <n v="4893"/>
    <n v="4266"/>
    <n v="21230"/>
    <s v="In Transit"/>
    <s v="In Progress"/>
    <n v="90567180"/>
    <n v="906"/>
    <n v="627"/>
    <x v="5"/>
    <n v="2025"/>
  </r>
  <r>
    <n v="119"/>
    <x v="4"/>
    <s v="Assembly"/>
    <x v="1"/>
    <s v="Smartphone"/>
    <x v="5"/>
    <s v="2025-11-02"/>
    <n v="517"/>
    <n v="376"/>
    <n v="14149"/>
    <s v="Pending"/>
    <s v="In Progress"/>
    <n v="5320024"/>
    <n v="53"/>
    <n v="141"/>
    <x v="10"/>
    <n v="2025"/>
  </r>
  <r>
    <n v="120"/>
    <x v="3"/>
    <s v="Testing"/>
    <x v="1"/>
    <s v="Smartphone"/>
    <x v="4"/>
    <s v="2025-06-23"/>
    <n v="2898"/>
    <n v="2216"/>
    <n v="54938"/>
    <s v="In Transit"/>
    <s v="Completed"/>
    <n v="121742608"/>
    <n v="1217"/>
    <n v="682"/>
    <x v="7"/>
    <n v="2025"/>
  </r>
  <r>
    <n v="122"/>
    <x v="4"/>
    <s v="Packaging"/>
    <x v="2"/>
    <s v="Smartphone"/>
    <x v="6"/>
    <s v="2025-02-10"/>
    <n v="2181"/>
    <n v="2124"/>
    <n v="112063"/>
    <s v="Shipped"/>
    <s v="Completed"/>
    <n v="238021812"/>
    <n v="2380"/>
    <n v="57"/>
    <x v="0"/>
    <n v="2025"/>
  </r>
  <r>
    <n v="123"/>
    <x v="1"/>
    <s v="Manufacturing"/>
    <x v="2"/>
    <s v="Smartphone"/>
    <x v="7"/>
    <s v="2025-09-05"/>
    <n v="1568"/>
    <n v="1389"/>
    <n v="52082"/>
    <s v="In Transit"/>
    <s v="Completed"/>
    <n v="72341898"/>
    <n v="723"/>
    <n v="179"/>
    <x v="9"/>
    <n v="2025"/>
  </r>
  <r>
    <n v="124"/>
    <x v="4"/>
    <s v="Testing"/>
    <x v="2"/>
    <s v="Smartphone"/>
    <x v="8"/>
    <s v="2025-06-03"/>
    <n v="692"/>
    <n v="466"/>
    <n v="106560"/>
    <s v="Pending"/>
    <s v="In Progress"/>
    <n v="49656960"/>
    <n v="497"/>
    <n v="226"/>
    <x v="7"/>
    <n v="2025"/>
  </r>
  <r>
    <n v="125"/>
    <x v="1"/>
    <s v="Packaging"/>
    <x v="2"/>
    <s v="Smartphone"/>
    <x v="8"/>
    <s v="2025-10-17"/>
    <n v="3270"/>
    <n v="2771"/>
    <n v="62621"/>
    <s v="Pending"/>
    <s v="Completed"/>
    <n v="173522791"/>
    <n v="1735"/>
    <n v="499"/>
    <x v="1"/>
    <n v="2025"/>
  </r>
  <r>
    <n v="126"/>
    <x v="4"/>
    <s v="Packaging"/>
    <x v="2"/>
    <s v="Smartphone"/>
    <x v="8"/>
    <s v="2025-03-24"/>
    <n v="1346"/>
    <n v="837"/>
    <n v="27032"/>
    <s v="Pending"/>
    <s v="In Progress"/>
    <n v="22625784"/>
    <n v="226"/>
    <n v="509"/>
    <x v="3"/>
    <n v="2025"/>
  </r>
  <r>
    <n v="127"/>
    <x v="1"/>
    <s v="Testing"/>
    <x v="2"/>
    <s v="Smartphone"/>
    <x v="7"/>
    <s v="2025-03-18"/>
    <n v="3581"/>
    <n v="3216"/>
    <n v="103617"/>
    <s v="In Transit"/>
    <s v="In Progress"/>
    <n v="333232272"/>
    <n v="3332"/>
    <n v="365"/>
    <x v="3"/>
    <n v="2025"/>
  </r>
  <r>
    <n v="128"/>
    <x v="3"/>
    <s v="Assembly"/>
    <x v="2"/>
    <s v="Smartphone"/>
    <x v="7"/>
    <s v="2025-07-30"/>
    <n v="1146"/>
    <n v="716"/>
    <n v="25648"/>
    <s v="Pending"/>
    <s v="Completed"/>
    <n v="18363968"/>
    <n v="184"/>
    <n v="430"/>
    <x v="4"/>
    <n v="2025"/>
  </r>
  <r>
    <n v="129"/>
    <x v="0"/>
    <s v="Manufacturing"/>
    <x v="2"/>
    <s v="Smartphone"/>
    <x v="8"/>
    <s v="2025-07-19"/>
    <n v="4061"/>
    <n v="3249"/>
    <n v="86914"/>
    <s v="In Transit"/>
    <s v="Completed"/>
    <n v="282383586"/>
    <n v="2824"/>
    <n v="812"/>
    <x v="4"/>
    <n v="2025"/>
  </r>
  <r>
    <n v="130"/>
    <x v="0"/>
    <s v="Packaging"/>
    <x v="2"/>
    <s v="Smartphone"/>
    <x v="7"/>
    <s v="2025-01-24"/>
    <n v="4900"/>
    <n v="3253"/>
    <n v="88343"/>
    <s v="In Transit"/>
    <s v="Completed"/>
    <n v="287379779"/>
    <n v="2874"/>
    <n v="1647"/>
    <x v="6"/>
    <n v="2025"/>
  </r>
  <r>
    <n v="131"/>
    <x v="4"/>
    <s v="Assembly"/>
    <x v="2"/>
    <s v="Smartphone"/>
    <x v="6"/>
    <s v="2025-03-17"/>
    <n v="827"/>
    <n v="636"/>
    <n v="96289"/>
    <s v="Pending"/>
    <s v="Completed"/>
    <n v="61239804"/>
    <n v="612"/>
    <n v="191"/>
    <x v="3"/>
    <n v="2025"/>
  </r>
  <r>
    <n v="132"/>
    <x v="1"/>
    <s v="Testing"/>
    <x v="2"/>
    <s v="Smartphone"/>
    <x v="7"/>
    <s v="2025-07-05"/>
    <n v="2852"/>
    <n v="2011"/>
    <n v="57760"/>
    <s v="Shipped"/>
    <s v="In Progress"/>
    <n v="116155360"/>
    <n v="1162"/>
    <n v="841"/>
    <x v="4"/>
    <n v="2025"/>
  </r>
  <r>
    <n v="133"/>
    <x v="2"/>
    <s v="Assembly"/>
    <x v="2"/>
    <s v="Smartphone"/>
    <x v="7"/>
    <s v="2025-08-06"/>
    <n v="3879"/>
    <n v="3430"/>
    <n v="17968"/>
    <s v="Pending"/>
    <s v="Completed"/>
    <n v="61630240"/>
    <n v="616"/>
    <n v="449"/>
    <x v="2"/>
    <n v="2025"/>
  </r>
  <r>
    <n v="134"/>
    <x v="2"/>
    <s v="Packaging"/>
    <x v="2"/>
    <s v="Smartphone"/>
    <x v="6"/>
    <s v="2025-04-29"/>
    <n v="1754"/>
    <n v="1499"/>
    <n v="35939"/>
    <s v="Pending"/>
    <s v="Completed"/>
    <n v="53872561"/>
    <n v="539"/>
    <n v="255"/>
    <x v="11"/>
    <n v="2025"/>
  </r>
  <r>
    <n v="135"/>
    <x v="4"/>
    <s v="Testing"/>
    <x v="2"/>
    <s v="Smartphone"/>
    <x v="8"/>
    <s v="2025-07-16"/>
    <n v="2331"/>
    <n v="1511"/>
    <n v="23990"/>
    <s v="Shipped"/>
    <s v="Completed"/>
    <n v="36248890"/>
    <n v="362"/>
    <n v="820"/>
    <x v="4"/>
    <n v="2025"/>
  </r>
  <r>
    <n v="136"/>
    <x v="1"/>
    <s v="Testing"/>
    <x v="2"/>
    <s v="Smartphone"/>
    <x v="8"/>
    <s v="2025-02-15"/>
    <n v="2629"/>
    <n v="2341"/>
    <n v="108139"/>
    <s v="In Transit"/>
    <s v="In Progress"/>
    <n v="253153399"/>
    <n v="2532"/>
    <n v="288"/>
    <x v="0"/>
    <n v="2025"/>
  </r>
  <r>
    <n v="137"/>
    <x v="4"/>
    <s v="Testing"/>
    <x v="2"/>
    <s v="Smartphone"/>
    <x v="7"/>
    <s v="2025-06-18"/>
    <n v="1710"/>
    <n v="1699"/>
    <n v="41695"/>
    <s v="In Transit"/>
    <s v="Completed"/>
    <n v="70839805"/>
    <n v="708"/>
    <n v="11"/>
    <x v="7"/>
    <n v="2025"/>
  </r>
  <r>
    <n v="138"/>
    <x v="1"/>
    <s v="Assembly"/>
    <x v="2"/>
    <s v="Smartphone"/>
    <x v="8"/>
    <s v="2025-02-06"/>
    <n v="3951"/>
    <n v="3538"/>
    <n v="50411"/>
    <s v="Pending"/>
    <s v="In Progress"/>
    <n v="178354118"/>
    <n v="1784"/>
    <n v="413"/>
    <x v="0"/>
    <n v="2025"/>
  </r>
  <r>
    <n v="139"/>
    <x v="3"/>
    <s v="Packaging"/>
    <x v="2"/>
    <s v="Smartphone"/>
    <x v="6"/>
    <s v="2025-10-29"/>
    <n v="3763"/>
    <n v="2771"/>
    <n v="46142"/>
    <s v="Pending"/>
    <s v="In Progress"/>
    <n v="127859482"/>
    <n v="1279"/>
    <n v="992"/>
    <x v="1"/>
    <n v="2025"/>
  </r>
  <r>
    <n v="140"/>
    <x v="2"/>
    <s v="Assembly"/>
    <x v="2"/>
    <s v="Smartphone"/>
    <x v="6"/>
    <s v="2025-06-10"/>
    <n v="4864"/>
    <n v="4417"/>
    <n v="76784"/>
    <s v="Pending"/>
    <s v="Completed"/>
    <n v="339154928"/>
    <n v="3392"/>
    <n v="447"/>
    <x v="7"/>
    <n v="2025"/>
  </r>
  <r>
    <n v="141"/>
    <x v="0"/>
    <s v="Manufacturing"/>
    <x v="2"/>
    <s v="Smartphone"/>
    <x v="7"/>
    <s v="2025-04-24"/>
    <n v="4670"/>
    <n v="4194"/>
    <n v="99464"/>
    <s v="Shipped"/>
    <s v="In Progress"/>
    <n v="417152016"/>
    <n v="4172"/>
    <n v="476"/>
    <x v="11"/>
    <n v="2025"/>
  </r>
  <r>
    <n v="142"/>
    <x v="4"/>
    <s v="Testing"/>
    <x v="2"/>
    <s v="Smartphone"/>
    <x v="7"/>
    <s v="2025-11-02"/>
    <n v="3664"/>
    <n v="3330"/>
    <n v="50573"/>
    <s v="Shipped"/>
    <s v="Completed"/>
    <n v="168408090"/>
    <n v="1684"/>
    <n v="334"/>
    <x v="10"/>
    <n v="2025"/>
  </r>
  <r>
    <n v="143"/>
    <x v="1"/>
    <s v="Testing"/>
    <x v="2"/>
    <s v="Smartphone"/>
    <x v="8"/>
    <s v="2025-11-24"/>
    <n v="1609"/>
    <n v="1025"/>
    <n v="50293"/>
    <s v="In Transit"/>
    <s v="In Progress"/>
    <n v="51550325"/>
    <n v="516"/>
    <n v="584"/>
    <x v="10"/>
    <n v="2025"/>
  </r>
  <r>
    <n v="144"/>
    <x v="1"/>
    <s v="Testing"/>
    <x v="2"/>
    <s v="Smartphone"/>
    <x v="8"/>
    <s v="2025-04-23"/>
    <n v="2953"/>
    <n v="1788"/>
    <n v="14052"/>
    <s v="In Transit"/>
    <s v="Completed"/>
    <n v="25124976"/>
    <n v="251"/>
    <n v="1165"/>
    <x v="11"/>
    <n v="2025"/>
  </r>
  <r>
    <n v="145"/>
    <x v="3"/>
    <s v="Assembly"/>
    <x v="2"/>
    <s v="Smartphone"/>
    <x v="7"/>
    <s v="2025-11-27"/>
    <n v="3477"/>
    <n v="3361"/>
    <n v="20032"/>
    <s v="Pending"/>
    <s v="In Progress"/>
    <n v="67327552"/>
    <n v="673"/>
    <n v="116"/>
    <x v="10"/>
    <n v="2025"/>
  </r>
  <r>
    <n v="146"/>
    <x v="4"/>
    <s v="Packaging"/>
    <x v="2"/>
    <s v="Smartphone"/>
    <x v="7"/>
    <s v="2025-11-18"/>
    <n v="2919"/>
    <n v="2063"/>
    <n v="80956"/>
    <s v="Shipped"/>
    <s v="Completed"/>
    <n v="167012228"/>
    <n v="1670"/>
    <n v="856"/>
    <x v="10"/>
    <n v="2025"/>
  </r>
  <r>
    <n v="147"/>
    <x v="1"/>
    <s v="Assembly"/>
    <x v="2"/>
    <s v="Smartphone"/>
    <x v="7"/>
    <s v="2025-11-12"/>
    <n v="1982"/>
    <n v="1425"/>
    <n v="72858"/>
    <s v="In Transit"/>
    <s v="In Progress"/>
    <n v="103822650"/>
    <n v="1038"/>
    <n v="557"/>
    <x v="10"/>
    <n v="2025"/>
  </r>
  <r>
    <n v="148"/>
    <x v="3"/>
    <s v="Packaging"/>
    <x v="2"/>
    <s v="Smartphone"/>
    <x v="7"/>
    <s v="2025-03-24"/>
    <n v="1815"/>
    <n v="1488"/>
    <n v="18249"/>
    <s v="Pending"/>
    <s v="Completed"/>
    <n v="27154512"/>
    <n v="272"/>
    <n v="327"/>
    <x v="3"/>
    <n v="2025"/>
  </r>
  <r>
    <n v="149"/>
    <x v="2"/>
    <s v="Testing"/>
    <x v="2"/>
    <s v="Smartphone"/>
    <x v="6"/>
    <s v="2025-05-17"/>
    <n v="577"/>
    <n v="538"/>
    <n v="111140"/>
    <s v="Shipped"/>
    <s v="In Progress"/>
    <n v="59793320"/>
    <n v="598"/>
    <n v="39"/>
    <x v="5"/>
    <n v="2025"/>
  </r>
  <r>
    <n v="150"/>
    <x v="4"/>
    <s v="Manufacturing"/>
    <x v="2"/>
    <s v="Smartphone"/>
    <x v="6"/>
    <s v="2025-01-08"/>
    <n v="1507"/>
    <n v="1385"/>
    <n v="106313"/>
    <s v="Shipped"/>
    <s v="In Progress"/>
    <n v="147243505"/>
    <n v="1472"/>
    <n v="122"/>
    <x v="6"/>
    <n v="2025"/>
  </r>
  <r>
    <n v="151"/>
    <x v="2"/>
    <s v="Assembly"/>
    <x v="2"/>
    <s v="Smartphone"/>
    <x v="6"/>
    <s v="2025-05-30"/>
    <n v="1126"/>
    <n v="921"/>
    <n v="90636"/>
    <s v="In Transit"/>
    <s v="Completed"/>
    <n v="83475756"/>
    <n v="835"/>
    <n v="205"/>
    <x v="5"/>
    <n v="2025"/>
  </r>
  <r>
    <n v="152"/>
    <x v="4"/>
    <s v="Assembly"/>
    <x v="2"/>
    <s v="Smartphone"/>
    <x v="6"/>
    <s v="2025-05-23"/>
    <n v="2467"/>
    <n v="1841"/>
    <n v="83528"/>
    <s v="In Transit"/>
    <s v="In Progress"/>
    <n v="153775048"/>
    <n v="1538"/>
    <n v="626"/>
    <x v="5"/>
    <n v="2025"/>
  </r>
  <r>
    <n v="153"/>
    <x v="3"/>
    <s v="Manufacturing"/>
    <x v="2"/>
    <s v="Smartphone"/>
    <x v="6"/>
    <s v="2025-06-23"/>
    <n v="2105"/>
    <n v="1795"/>
    <n v="18928"/>
    <s v="Shipped"/>
    <s v="Completed"/>
    <n v="33975760"/>
    <n v="340"/>
    <n v="310"/>
    <x v="7"/>
    <n v="2025"/>
  </r>
  <r>
    <n v="154"/>
    <x v="1"/>
    <s v="Assembly"/>
    <x v="2"/>
    <s v="Smartphone"/>
    <x v="7"/>
    <s v="2025-07-20"/>
    <n v="4435"/>
    <n v="3706"/>
    <n v="91068"/>
    <s v="Shipped"/>
    <s v="In Progress"/>
    <n v="337498008"/>
    <n v="3375"/>
    <n v="729"/>
    <x v="4"/>
    <n v="2025"/>
  </r>
  <r>
    <n v="155"/>
    <x v="1"/>
    <s v="Packaging"/>
    <x v="2"/>
    <s v="Smartphone"/>
    <x v="6"/>
    <s v="2025-07-15"/>
    <n v="3987"/>
    <n v="2681"/>
    <n v="42246"/>
    <s v="In Transit"/>
    <s v="In Progress"/>
    <n v="113261526"/>
    <n v="1133"/>
    <n v="1306"/>
    <x v="4"/>
    <n v="2025"/>
  </r>
  <r>
    <n v="156"/>
    <x v="1"/>
    <s v="Testing"/>
    <x v="2"/>
    <s v="Smartphone"/>
    <x v="6"/>
    <s v="2025-03-01"/>
    <n v="2469"/>
    <n v="1586"/>
    <n v="62701"/>
    <s v="In Transit"/>
    <s v="Completed"/>
    <n v="99443786"/>
    <n v="994"/>
    <n v="883"/>
    <x v="3"/>
    <n v="2025"/>
  </r>
  <r>
    <n v="158"/>
    <x v="4"/>
    <s v="Packaging"/>
    <x v="2"/>
    <s v="Smartphone"/>
    <x v="8"/>
    <s v="2025-01-23"/>
    <n v="4800"/>
    <n v="4688"/>
    <n v="33189"/>
    <s v="Shipped"/>
    <s v="Completed"/>
    <n v="155590032"/>
    <n v="1556"/>
    <n v="112"/>
    <x v="6"/>
    <n v="2025"/>
  </r>
  <r>
    <n v="159"/>
    <x v="3"/>
    <s v="Packaging"/>
    <x v="2"/>
    <s v="Smartphone"/>
    <x v="6"/>
    <s v="2025-05-11"/>
    <n v="2448"/>
    <n v="2096"/>
    <n v="82236"/>
    <s v="Shipped"/>
    <s v="In Progress"/>
    <n v="172366656"/>
    <n v="1724"/>
    <n v="352"/>
    <x v="5"/>
    <n v="2025"/>
  </r>
  <r>
    <n v="160"/>
    <x v="2"/>
    <s v="Packaging"/>
    <x v="2"/>
    <s v="Smartphone"/>
    <x v="6"/>
    <s v="2025-10-23"/>
    <n v="1880"/>
    <n v="1443"/>
    <n v="34477"/>
    <s v="Shipped"/>
    <s v="Completed"/>
    <n v="49750311"/>
    <n v="498"/>
    <n v="437"/>
    <x v="1"/>
    <n v="2025"/>
  </r>
  <r>
    <n v="161"/>
    <x v="1"/>
    <s v="Packaging"/>
    <x v="2"/>
    <s v="Smartphone"/>
    <x v="8"/>
    <s v="2025-06-05"/>
    <n v="4441"/>
    <n v="3779"/>
    <n v="84177"/>
    <s v="In Transit"/>
    <s v="Completed"/>
    <n v="318104883"/>
    <n v="3181"/>
    <n v="662"/>
    <x v="7"/>
    <n v="2025"/>
  </r>
  <r>
    <n v="162"/>
    <x v="2"/>
    <s v="Manufacturing"/>
    <x v="2"/>
    <s v="Smartphone"/>
    <x v="8"/>
    <s v="2025-07-05"/>
    <n v="558"/>
    <n v="445"/>
    <n v="21860"/>
    <s v="In Transit"/>
    <s v="In Progress"/>
    <n v="9727700"/>
    <n v="97"/>
    <n v="113"/>
    <x v="4"/>
    <n v="2025"/>
  </r>
  <r>
    <n v="163"/>
    <x v="2"/>
    <s v="Testing"/>
    <x v="2"/>
    <s v="Smartphone"/>
    <x v="7"/>
    <s v="2025-04-04"/>
    <n v="4557"/>
    <n v="3427"/>
    <n v="91070"/>
    <s v="Pending"/>
    <s v="Completed"/>
    <n v="312096890"/>
    <n v="3121"/>
    <n v="1130"/>
    <x v="11"/>
    <n v="2025"/>
  </r>
  <r>
    <n v="164"/>
    <x v="3"/>
    <s v="Packaging"/>
    <x v="2"/>
    <s v="Smartphone"/>
    <x v="7"/>
    <s v="2025-08-01"/>
    <n v="1804"/>
    <n v="1115"/>
    <n v="65877"/>
    <s v="Pending"/>
    <s v="Completed"/>
    <n v="73452855"/>
    <n v="735"/>
    <n v="689"/>
    <x v="2"/>
    <n v="2025"/>
  </r>
  <r>
    <n v="165"/>
    <x v="2"/>
    <s v="Assembly"/>
    <x v="2"/>
    <s v="Smartphone"/>
    <x v="6"/>
    <s v="2025-06-29"/>
    <n v="1286"/>
    <n v="945"/>
    <n v="26847"/>
    <s v="In Transit"/>
    <s v="In Progress"/>
    <n v="25370415"/>
    <n v="254"/>
    <n v="341"/>
    <x v="7"/>
    <n v="2025"/>
  </r>
  <r>
    <n v="166"/>
    <x v="3"/>
    <s v="Manufacturing"/>
    <x v="2"/>
    <s v="Smartphone"/>
    <x v="7"/>
    <s v="2025-02-28"/>
    <n v="929"/>
    <n v="562"/>
    <n v="118246"/>
    <s v="Pending"/>
    <s v="Completed"/>
    <n v="66454252"/>
    <n v="665"/>
    <n v="367"/>
    <x v="0"/>
    <n v="2025"/>
  </r>
  <r>
    <n v="167"/>
    <x v="1"/>
    <s v="Packaging"/>
    <x v="2"/>
    <s v="Smartphone"/>
    <x v="6"/>
    <s v="2025-05-29"/>
    <n v="586"/>
    <n v="373"/>
    <n v="44789"/>
    <s v="In Transit"/>
    <s v="Completed"/>
    <n v="16706297"/>
    <n v="167"/>
    <n v="213"/>
    <x v="5"/>
    <n v="2025"/>
  </r>
  <r>
    <n v="168"/>
    <x v="0"/>
    <s v="Testing"/>
    <x v="2"/>
    <s v="Smartphone"/>
    <x v="6"/>
    <s v="2025-11-08"/>
    <n v="2607"/>
    <n v="2244"/>
    <n v="113055"/>
    <s v="In Transit"/>
    <s v="Completed"/>
    <n v="253695420"/>
    <n v="2537"/>
    <n v="363"/>
    <x v="10"/>
    <n v="2025"/>
  </r>
  <r>
    <n v="169"/>
    <x v="0"/>
    <s v="Assembly"/>
    <x v="2"/>
    <s v="Smartphone"/>
    <x v="8"/>
    <s v="2025-08-18"/>
    <n v="1754"/>
    <n v="1173"/>
    <n v="88554"/>
    <s v="In Transit"/>
    <s v="Completed"/>
    <n v="103873842"/>
    <n v="1039"/>
    <n v="581"/>
    <x v="2"/>
    <n v="2025"/>
  </r>
  <r>
    <n v="170"/>
    <x v="4"/>
    <s v="Manufacturing"/>
    <x v="2"/>
    <s v="Smartphone"/>
    <x v="8"/>
    <s v="2025-03-08"/>
    <n v="726"/>
    <n v="489"/>
    <n v="16352"/>
    <s v="Shipped"/>
    <s v="In Progress"/>
    <n v="7996128"/>
    <n v="80"/>
    <n v="237"/>
    <x v="3"/>
    <n v="2025"/>
  </r>
  <r>
    <n v="171"/>
    <x v="1"/>
    <s v="Packaging"/>
    <x v="2"/>
    <s v="Smartphone"/>
    <x v="7"/>
    <s v="2025-07-03"/>
    <n v="3436"/>
    <n v="2664"/>
    <n v="84951"/>
    <s v="Pending"/>
    <s v="In Progress"/>
    <n v="226309464"/>
    <n v="2263"/>
    <n v="772"/>
    <x v="4"/>
    <n v="2025"/>
  </r>
  <r>
    <n v="172"/>
    <x v="0"/>
    <s v="Assembly"/>
    <x v="2"/>
    <s v="Smartphone"/>
    <x v="8"/>
    <s v="2025-07-20"/>
    <n v="3080"/>
    <n v="2244"/>
    <n v="34392"/>
    <s v="Pending"/>
    <s v="In Progress"/>
    <n v="77175648"/>
    <n v="772"/>
    <n v="836"/>
    <x v="4"/>
    <n v="2025"/>
  </r>
  <r>
    <n v="173"/>
    <x v="0"/>
    <s v="Assembly"/>
    <x v="2"/>
    <s v="Smartphone"/>
    <x v="7"/>
    <s v="2025-03-21"/>
    <n v="1345"/>
    <n v="1306"/>
    <n v="110744"/>
    <s v="Shipped"/>
    <s v="Completed"/>
    <n v="144631664"/>
    <n v="1446"/>
    <n v="39"/>
    <x v="3"/>
    <n v="2025"/>
  </r>
  <r>
    <n v="174"/>
    <x v="2"/>
    <s v="Assembly"/>
    <x v="2"/>
    <s v="Smartphone"/>
    <x v="8"/>
    <s v="2025-06-27"/>
    <n v="680"/>
    <n v="574"/>
    <n v="100887"/>
    <s v="Pending"/>
    <s v="Completed"/>
    <n v="57909138"/>
    <n v="579"/>
    <n v="106"/>
    <x v="7"/>
    <n v="2025"/>
  </r>
  <r>
    <n v="175"/>
    <x v="0"/>
    <s v="Testing"/>
    <x v="2"/>
    <s v="Smartphone"/>
    <x v="6"/>
    <s v="2025-04-03"/>
    <n v="2194"/>
    <n v="1376"/>
    <n v="96396"/>
    <s v="In Transit"/>
    <s v="Completed"/>
    <n v="132640896"/>
    <n v="1326"/>
    <n v="818"/>
    <x v="11"/>
    <n v="2025"/>
  </r>
  <r>
    <n v="176"/>
    <x v="4"/>
    <s v="Packaging"/>
    <x v="2"/>
    <s v="Smartphone"/>
    <x v="6"/>
    <s v="2025-11-19"/>
    <n v="2086"/>
    <n v="1491"/>
    <n v="76271"/>
    <s v="In Transit"/>
    <s v="Completed"/>
    <n v="113720061"/>
    <n v="1137"/>
    <n v="595"/>
    <x v="10"/>
    <n v="2025"/>
  </r>
  <r>
    <n v="177"/>
    <x v="0"/>
    <s v="Packaging"/>
    <x v="2"/>
    <s v="Smartphone"/>
    <x v="6"/>
    <s v="2025-08-09"/>
    <n v="4696"/>
    <n v="3936"/>
    <n v="55478"/>
    <s v="Shipped"/>
    <s v="In Progress"/>
    <n v="218361408"/>
    <n v="2184"/>
    <n v="760"/>
    <x v="2"/>
    <n v="2025"/>
  </r>
  <r>
    <n v="178"/>
    <x v="2"/>
    <s v="Testing"/>
    <x v="2"/>
    <s v="Smartphone"/>
    <x v="7"/>
    <s v="2025-05-22"/>
    <n v="3571"/>
    <n v="2840"/>
    <n v="21100"/>
    <s v="In Transit"/>
    <s v="In Progress"/>
    <n v="59924000"/>
    <n v="599"/>
    <n v="731"/>
    <x v="5"/>
    <n v="2025"/>
  </r>
  <r>
    <n v="179"/>
    <x v="1"/>
    <s v="Packaging"/>
    <x v="2"/>
    <s v="Smartphone"/>
    <x v="7"/>
    <s v="2025-08-21"/>
    <n v="1696"/>
    <n v="1514"/>
    <n v="52539"/>
    <s v="In Transit"/>
    <s v="Completed"/>
    <n v="79544046"/>
    <n v="795"/>
    <n v="182"/>
    <x v="2"/>
    <n v="2025"/>
  </r>
  <r>
    <n v="181"/>
    <x v="4"/>
    <s v="Packaging"/>
    <x v="3"/>
    <s v="Smartphone"/>
    <x v="9"/>
    <s v="2025-02-09"/>
    <n v="3051"/>
    <n v="2899"/>
    <n v="113690"/>
    <s v="Pending"/>
    <s v="In Progress"/>
    <n v="329587310"/>
    <n v="3296"/>
    <n v="152"/>
    <x v="0"/>
    <n v="2025"/>
  </r>
  <r>
    <n v="182"/>
    <x v="3"/>
    <s v="Manufacturing"/>
    <x v="3"/>
    <s v="Smartphone"/>
    <x v="9"/>
    <s v="2025-06-14"/>
    <n v="2744"/>
    <n v="1957"/>
    <n v="13454"/>
    <s v="Shipped"/>
    <s v="Completed"/>
    <n v="26329478"/>
    <n v="263"/>
    <n v="787"/>
    <x v="7"/>
    <n v="2025"/>
  </r>
  <r>
    <n v="183"/>
    <x v="3"/>
    <s v="Assembly"/>
    <x v="3"/>
    <s v="Smartphone"/>
    <x v="9"/>
    <s v="2025-09-01"/>
    <n v="3673"/>
    <n v="2308"/>
    <n v="23775"/>
    <s v="Shipped"/>
    <s v="Completed"/>
    <n v="54872700"/>
    <n v="549"/>
    <n v="1365"/>
    <x v="9"/>
    <n v="2025"/>
  </r>
  <r>
    <n v="184"/>
    <x v="3"/>
    <s v="Assembly"/>
    <x v="3"/>
    <s v="Smartphone"/>
    <x v="9"/>
    <s v="2025-11-20"/>
    <n v="3015"/>
    <n v="2486"/>
    <n v="93634"/>
    <s v="Shipped"/>
    <s v="In Progress"/>
    <n v="232774124"/>
    <n v="2328"/>
    <n v="529"/>
    <x v="10"/>
    <n v="2025"/>
  </r>
  <r>
    <n v="185"/>
    <x v="1"/>
    <s v="Packaging"/>
    <x v="3"/>
    <s v="Smartphone"/>
    <x v="10"/>
    <s v="2025-02-12"/>
    <n v="2950"/>
    <n v="2367"/>
    <n v="62144"/>
    <s v="Pending"/>
    <s v="In Progress"/>
    <n v="147094848"/>
    <n v="1471"/>
    <n v="583"/>
    <x v="0"/>
    <n v="2025"/>
  </r>
  <r>
    <n v="186"/>
    <x v="4"/>
    <s v="Manufacturing"/>
    <x v="3"/>
    <s v="Smartphone"/>
    <x v="11"/>
    <s v="2025-04-19"/>
    <n v="1190"/>
    <n v="1076"/>
    <n v="104079"/>
    <s v="Shipped"/>
    <s v="Completed"/>
    <n v="111989004"/>
    <n v="1120"/>
    <n v="114"/>
    <x v="11"/>
    <n v="2025"/>
  </r>
  <r>
    <n v="187"/>
    <x v="2"/>
    <s v="Testing"/>
    <x v="3"/>
    <s v="Smartphone"/>
    <x v="10"/>
    <s v="2025-10-15"/>
    <n v="4589"/>
    <n v="3185"/>
    <n v="114087"/>
    <s v="In Transit"/>
    <s v="Completed"/>
    <n v="363367095"/>
    <n v="3634"/>
    <n v="1404"/>
    <x v="1"/>
    <n v="2025"/>
  </r>
  <r>
    <n v="188"/>
    <x v="1"/>
    <s v="Manufacturing"/>
    <x v="3"/>
    <s v="Smartphone"/>
    <x v="9"/>
    <s v="2025-03-20"/>
    <n v="2943"/>
    <n v="2570"/>
    <n v="29550"/>
    <s v="Pending"/>
    <s v="Completed"/>
    <n v="75943500"/>
    <n v="759"/>
    <n v="373"/>
    <x v="3"/>
    <n v="2025"/>
  </r>
  <r>
    <n v="189"/>
    <x v="2"/>
    <s v="Testing"/>
    <x v="3"/>
    <s v="Smartphone"/>
    <x v="11"/>
    <s v="2025-10-22"/>
    <n v="3188"/>
    <n v="2751"/>
    <n v="36996"/>
    <s v="In Transit"/>
    <s v="Completed"/>
    <n v="101775996"/>
    <n v="1018"/>
    <n v="437"/>
    <x v="1"/>
    <n v="2025"/>
  </r>
  <r>
    <n v="190"/>
    <x v="0"/>
    <s v="Testing"/>
    <x v="3"/>
    <s v="Smartphone"/>
    <x v="10"/>
    <s v="2025-11-22"/>
    <n v="4063"/>
    <n v="3521"/>
    <n v="80081"/>
    <s v="Shipped"/>
    <s v="In Progress"/>
    <n v="281965201"/>
    <n v="2820"/>
    <n v="542"/>
    <x v="10"/>
    <n v="2025"/>
  </r>
  <r>
    <n v="191"/>
    <x v="3"/>
    <s v="Manufacturing"/>
    <x v="3"/>
    <s v="Smartphone"/>
    <x v="11"/>
    <s v="2025-09-10"/>
    <n v="1545"/>
    <n v="962"/>
    <n v="89716"/>
    <s v="Pending"/>
    <s v="In Progress"/>
    <n v="86306792"/>
    <n v="863"/>
    <n v="583"/>
    <x v="9"/>
    <n v="2025"/>
  </r>
  <r>
    <n v="192"/>
    <x v="4"/>
    <s v="Packaging"/>
    <x v="3"/>
    <s v="Smartphone"/>
    <x v="9"/>
    <s v="2025-01-23"/>
    <n v="3801"/>
    <n v="3265"/>
    <n v="48465"/>
    <s v="Pending"/>
    <s v="Completed"/>
    <n v="158238225"/>
    <n v="1582"/>
    <n v="536"/>
    <x v="6"/>
    <n v="2025"/>
  </r>
  <r>
    <n v="193"/>
    <x v="1"/>
    <s v="Packaging"/>
    <x v="3"/>
    <s v="Smartphone"/>
    <x v="11"/>
    <s v="2025-05-22"/>
    <n v="2746"/>
    <n v="2250"/>
    <n v="38467"/>
    <s v="Pending"/>
    <s v="Completed"/>
    <n v="86550750"/>
    <n v="866"/>
    <n v="496"/>
    <x v="5"/>
    <n v="2025"/>
  </r>
  <r>
    <n v="194"/>
    <x v="3"/>
    <s v="Testing"/>
    <x v="3"/>
    <s v="Smartphone"/>
    <x v="10"/>
    <s v="2025-05-28"/>
    <n v="1048"/>
    <n v="695"/>
    <n v="80735"/>
    <s v="Shipped"/>
    <s v="In Progress"/>
    <n v="56110825"/>
    <n v="561"/>
    <n v="353"/>
    <x v="5"/>
    <n v="2025"/>
  </r>
  <r>
    <n v="195"/>
    <x v="0"/>
    <s v="Assembly"/>
    <x v="3"/>
    <s v="Smartphone"/>
    <x v="9"/>
    <s v="2025-10-06"/>
    <n v="4570"/>
    <n v="4118"/>
    <n v="68963"/>
    <s v="In Transit"/>
    <s v="In Progress"/>
    <n v="283989634"/>
    <n v="2840"/>
    <n v="452"/>
    <x v="1"/>
    <n v="2025"/>
  </r>
  <r>
    <n v="196"/>
    <x v="0"/>
    <s v="Testing"/>
    <x v="3"/>
    <s v="Smartphone"/>
    <x v="11"/>
    <s v="2025-05-03"/>
    <n v="1443"/>
    <n v="1387"/>
    <n v="25479"/>
    <s v="Shipped"/>
    <s v="Completed"/>
    <n v="35339373"/>
    <n v="353"/>
    <n v="56"/>
    <x v="5"/>
    <n v="2025"/>
  </r>
  <r>
    <n v="197"/>
    <x v="3"/>
    <s v="Manufacturing"/>
    <x v="3"/>
    <s v="Smartphone"/>
    <x v="10"/>
    <s v="2025-01-23"/>
    <n v="3240"/>
    <n v="2197"/>
    <n v="34365"/>
    <s v="Shipped"/>
    <s v="In Progress"/>
    <n v="75499905"/>
    <n v="755"/>
    <n v="1043"/>
    <x v="6"/>
    <n v="2025"/>
  </r>
  <r>
    <n v="198"/>
    <x v="3"/>
    <s v="Testing"/>
    <x v="3"/>
    <s v="Smartphone"/>
    <x v="11"/>
    <s v="2025-08-29"/>
    <n v="4735"/>
    <n v="3744"/>
    <n v="39564"/>
    <s v="Pending"/>
    <s v="Completed"/>
    <n v="148127616"/>
    <n v="1481"/>
    <n v="991"/>
    <x v="2"/>
    <n v="2025"/>
  </r>
  <r>
    <n v="199"/>
    <x v="3"/>
    <s v="Testing"/>
    <x v="3"/>
    <s v="Smartphone"/>
    <x v="9"/>
    <s v="2025-04-18"/>
    <n v="4292"/>
    <n v="3141"/>
    <n v="20220"/>
    <s v="In Transit"/>
    <s v="Completed"/>
    <n v="63511020"/>
    <n v="635"/>
    <n v="1151"/>
    <x v="11"/>
    <n v="2025"/>
  </r>
  <r>
    <n v="200"/>
    <x v="1"/>
    <s v="Assembly"/>
    <x v="3"/>
    <s v="Smartphone"/>
    <x v="9"/>
    <s v="2025-06-03"/>
    <n v="4189"/>
    <n v="3863"/>
    <n v="117692"/>
    <s v="Shipped"/>
    <s v="In Progress"/>
    <n v="454644196"/>
    <n v="4546"/>
    <n v="326"/>
    <x v="7"/>
    <n v="2025"/>
  </r>
  <r>
    <n v="201"/>
    <x v="1"/>
    <s v="Assembly"/>
    <x v="3"/>
    <s v="Smartphone"/>
    <x v="10"/>
    <s v="2025-07-29"/>
    <n v="1353"/>
    <n v="926"/>
    <n v="79793"/>
    <s v="Pending"/>
    <s v="Completed"/>
    <n v="73888318"/>
    <n v="739"/>
    <n v="427"/>
    <x v="4"/>
    <n v="2025"/>
  </r>
  <r>
    <n v="202"/>
    <x v="3"/>
    <s v="Testing"/>
    <x v="3"/>
    <s v="Smartphone"/>
    <x v="11"/>
    <s v="2025-06-17"/>
    <n v="2434"/>
    <n v="1794"/>
    <n v="43609"/>
    <s v="In Transit"/>
    <s v="Completed"/>
    <n v="78234546"/>
    <n v="782"/>
    <n v="640"/>
    <x v="7"/>
    <n v="2025"/>
  </r>
  <r>
    <n v="203"/>
    <x v="0"/>
    <s v="Testing"/>
    <x v="3"/>
    <s v="Smartphone"/>
    <x v="11"/>
    <s v="2025-06-05"/>
    <n v="1406"/>
    <n v="954"/>
    <n v="112622"/>
    <s v="Shipped"/>
    <s v="Completed"/>
    <n v="107441388"/>
    <n v="1074"/>
    <n v="452"/>
    <x v="7"/>
    <n v="2025"/>
  </r>
  <r>
    <n v="204"/>
    <x v="2"/>
    <s v="Packaging"/>
    <x v="3"/>
    <s v="Smartphone"/>
    <x v="10"/>
    <s v="2025-03-10"/>
    <n v="2872"/>
    <n v="2076"/>
    <n v="97837"/>
    <s v="Pending"/>
    <s v="In Progress"/>
    <n v="203109612"/>
    <n v="2031"/>
    <n v="796"/>
    <x v="3"/>
    <n v="2025"/>
  </r>
  <r>
    <n v="205"/>
    <x v="3"/>
    <s v="Testing"/>
    <x v="3"/>
    <s v="Smartphone"/>
    <x v="10"/>
    <s v="2025-12-18"/>
    <n v="3646"/>
    <n v="2862"/>
    <n v="85248"/>
    <s v="Pending"/>
    <s v="In Progress"/>
    <n v="243979776"/>
    <n v="2440"/>
    <n v="784"/>
    <x v="8"/>
    <n v="2025"/>
  </r>
  <r>
    <n v="206"/>
    <x v="2"/>
    <s v="Testing"/>
    <x v="3"/>
    <s v="Smartphone"/>
    <x v="10"/>
    <s v="2025-06-11"/>
    <n v="4582"/>
    <n v="2883"/>
    <n v="40805"/>
    <s v="Shipped"/>
    <s v="Completed"/>
    <n v="117640815"/>
    <n v="1176"/>
    <n v="1699"/>
    <x v="7"/>
    <n v="2025"/>
  </r>
  <r>
    <n v="207"/>
    <x v="2"/>
    <s v="Packaging"/>
    <x v="3"/>
    <s v="Smartphone"/>
    <x v="9"/>
    <s v="2025-06-20"/>
    <n v="3170"/>
    <n v="2417"/>
    <n v="57486"/>
    <s v="Shipped"/>
    <s v="Completed"/>
    <n v="138943662"/>
    <n v="1389"/>
    <n v="753"/>
    <x v="7"/>
    <n v="2025"/>
  </r>
  <r>
    <n v="208"/>
    <x v="3"/>
    <s v="Testing"/>
    <x v="3"/>
    <s v="Smartphone"/>
    <x v="9"/>
    <s v="2025-02-22"/>
    <n v="2284"/>
    <n v="1449"/>
    <n v="85945"/>
    <s v="In Transit"/>
    <s v="In Progress"/>
    <n v="124534305"/>
    <n v="1245"/>
    <n v="835"/>
    <x v="0"/>
    <n v="2025"/>
  </r>
  <r>
    <n v="209"/>
    <x v="3"/>
    <s v="Assembly"/>
    <x v="3"/>
    <s v="Smartphone"/>
    <x v="9"/>
    <s v="2025-03-31"/>
    <n v="3522"/>
    <n v="2504"/>
    <n v="67821"/>
    <s v="In Transit"/>
    <s v="Completed"/>
    <n v="169823784"/>
    <n v="1698"/>
    <n v="1018"/>
    <x v="3"/>
    <n v="2025"/>
  </r>
  <r>
    <n v="211"/>
    <x v="0"/>
    <s v="Assembly"/>
    <x v="3"/>
    <s v="Smartphone"/>
    <x v="9"/>
    <s v="2025-01-29"/>
    <n v="2626"/>
    <n v="1710"/>
    <n v="38978"/>
    <s v="In Transit"/>
    <s v="Completed"/>
    <n v="66652380"/>
    <n v="667"/>
    <n v="916"/>
    <x v="6"/>
    <n v="2025"/>
  </r>
  <r>
    <n v="212"/>
    <x v="4"/>
    <s v="Testing"/>
    <x v="3"/>
    <s v="Smartphone"/>
    <x v="11"/>
    <s v="2025-02-26"/>
    <n v="2587"/>
    <n v="2148"/>
    <n v="61566"/>
    <s v="Shipped"/>
    <s v="Completed"/>
    <n v="132243768"/>
    <n v="1322"/>
    <n v="439"/>
    <x v="0"/>
    <n v="2025"/>
  </r>
  <r>
    <n v="214"/>
    <x v="0"/>
    <s v="Packaging"/>
    <x v="3"/>
    <s v="Smartphone"/>
    <x v="10"/>
    <s v="2025-02-26"/>
    <n v="4331"/>
    <n v="2863"/>
    <n v="71042"/>
    <s v="In Transit"/>
    <s v="In Progress"/>
    <n v="203393246"/>
    <n v="2034"/>
    <n v="1468"/>
    <x v="0"/>
    <n v="2025"/>
  </r>
  <r>
    <n v="215"/>
    <x v="0"/>
    <s v="Packaging"/>
    <x v="3"/>
    <s v="Smartphone"/>
    <x v="9"/>
    <s v="2025-12-27"/>
    <n v="4090"/>
    <n v="2912"/>
    <n v="50205"/>
    <s v="In Transit"/>
    <s v="In Progress"/>
    <n v="146196960"/>
    <n v="1462"/>
    <n v="1178"/>
    <x v="8"/>
    <n v="2025"/>
  </r>
  <r>
    <n v="216"/>
    <x v="4"/>
    <s v="Assembly"/>
    <x v="3"/>
    <s v="Smartphone"/>
    <x v="11"/>
    <s v="2025-01-02"/>
    <n v="2794"/>
    <n v="2608"/>
    <n v="82792"/>
    <s v="In Transit"/>
    <s v="In Progress"/>
    <n v="215921536"/>
    <n v="2159"/>
    <n v="186"/>
    <x v="6"/>
    <n v="2025"/>
  </r>
  <r>
    <n v="217"/>
    <x v="3"/>
    <s v="Manufacturing"/>
    <x v="3"/>
    <s v="Smartphone"/>
    <x v="11"/>
    <s v="2025-05-16"/>
    <n v="1062"/>
    <n v="750"/>
    <n v="112063"/>
    <s v="Shipped"/>
    <s v="In Progress"/>
    <n v="84047250"/>
    <n v="840"/>
    <n v="312"/>
    <x v="5"/>
    <n v="2025"/>
  </r>
  <r>
    <n v="218"/>
    <x v="2"/>
    <s v="Manufacturing"/>
    <x v="3"/>
    <s v="Smartphone"/>
    <x v="11"/>
    <s v="2025-01-18"/>
    <n v="2853"/>
    <n v="1846"/>
    <n v="53001"/>
    <s v="Pending"/>
    <s v="In Progress"/>
    <n v="97839846"/>
    <n v="978"/>
    <n v="1007"/>
    <x v="6"/>
    <n v="2025"/>
  </r>
  <r>
    <n v="219"/>
    <x v="4"/>
    <s v="Packaging"/>
    <x v="3"/>
    <s v="Smartphone"/>
    <x v="9"/>
    <s v="2025-08-16"/>
    <n v="2070"/>
    <n v="1729"/>
    <n v="44965"/>
    <s v="Pending"/>
    <s v="In Progress"/>
    <n v="77744485"/>
    <n v="777"/>
    <n v="341"/>
    <x v="2"/>
    <n v="2025"/>
  </r>
  <r>
    <n v="220"/>
    <x v="3"/>
    <s v="Manufacturing"/>
    <x v="3"/>
    <s v="Smartphone"/>
    <x v="9"/>
    <s v="2025-12-26"/>
    <n v="1771"/>
    <n v="1414"/>
    <n v="46363"/>
    <s v="Shipped"/>
    <s v="In Progress"/>
    <n v="65557282"/>
    <n v="656"/>
    <n v="357"/>
    <x v="8"/>
    <n v="2025"/>
  </r>
  <r>
    <n v="221"/>
    <x v="3"/>
    <s v="Testing"/>
    <x v="3"/>
    <s v="Smartphone"/>
    <x v="9"/>
    <s v="2025-10-06"/>
    <n v="3943"/>
    <n v="2428"/>
    <n v="36906"/>
    <s v="In Transit"/>
    <s v="In Progress"/>
    <n v="89607768"/>
    <n v="896"/>
    <n v="1515"/>
    <x v="1"/>
    <n v="2025"/>
  </r>
  <r>
    <n v="222"/>
    <x v="2"/>
    <s v="Testing"/>
    <x v="3"/>
    <s v="Smartphone"/>
    <x v="10"/>
    <s v="2025-09-01"/>
    <n v="772"/>
    <n v="577"/>
    <n v="97771"/>
    <s v="In Transit"/>
    <s v="In Progress"/>
    <n v="56413867"/>
    <n v="564"/>
    <n v="195"/>
    <x v="9"/>
    <n v="2025"/>
  </r>
  <r>
    <n v="223"/>
    <x v="4"/>
    <s v="Testing"/>
    <x v="3"/>
    <s v="Smartphone"/>
    <x v="9"/>
    <s v="2025-06-20"/>
    <n v="4581"/>
    <n v="4005"/>
    <n v="111094"/>
    <s v="In Transit"/>
    <s v="In Progress"/>
    <n v="444931470"/>
    <n v="4449"/>
    <n v="576"/>
    <x v="7"/>
    <n v="2025"/>
  </r>
  <r>
    <n v="224"/>
    <x v="1"/>
    <s v="Testing"/>
    <x v="3"/>
    <s v="Smartphone"/>
    <x v="11"/>
    <s v="2025-09-17"/>
    <n v="4924"/>
    <n v="3728"/>
    <n v="47214"/>
    <s v="Shipped"/>
    <s v="In Progress"/>
    <n v="176013792"/>
    <n v="1760"/>
    <n v="1196"/>
    <x v="9"/>
    <n v="2025"/>
  </r>
  <r>
    <n v="225"/>
    <x v="2"/>
    <s v="Manufacturing"/>
    <x v="3"/>
    <s v="Smartphone"/>
    <x v="9"/>
    <s v="2025-11-04"/>
    <n v="4648"/>
    <n v="4322"/>
    <n v="105139"/>
    <s v="Shipped"/>
    <s v="Completed"/>
    <n v="454410758"/>
    <n v="4544"/>
    <n v="326"/>
    <x v="10"/>
    <n v="2025"/>
  </r>
  <r>
    <n v="226"/>
    <x v="3"/>
    <s v="Manufacturing"/>
    <x v="3"/>
    <s v="Smartphone"/>
    <x v="11"/>
    <s v="2025-10-05"/>
    <n v="2953"/>
    <n v="2109"/>
    <n v="18597"/>
    <s v="In Transit"/>
    <s v="Completed"/>
    <n v="39221073"/>
    <n v="392"/>
    <n v="844"/>
    <x v="1"/>
    <n v="2025"/>
  </r>
  <r>
    <n v="227"/>
    <x v="0"/>
    <s v="Manufacturing"/>
    <x v="3"/>
    <s v="Smartphone"/>
    <x v="9"/>
    <s v="2025-10-19"/>
    <n v="1254"/>
    <n v="881"/>
    <n v="72167"/>
    <s v="Shipped"/>
    <s v="In Progress"/>
    <n v="63579127"/>
    <n v="636"/>
    <n v="373"/>
    <x v="1"/>
    <n v="2025"/>
  </r>
  <r>
    <n v="228"/>
    <x v="3"/>
    <s v="Packaging"/>
    <x v="3"/>
    <s v="Smartphone"/>
    <x v="9"/>
    <s v="2025-08-17"/>
    <n v="1892"/>
    <n v="1508"/>
    <n v="87292"/>
    <s v="Shipped"/>
    <s v="In Progress"/>
    <n v="131636336"/>
    <n v="1316"/>
    <n v="384"/>
    <x v="2"/>
    <n v="2025"/>
  </r>
  <r>
    <n v="229"/>
    <x v="4"/>
    <s v="Packaging"/>
    <x v="3"/>
    <s v="Smartphone"/>
    <x v="9"/>
    <s v="2025-11-17"/>
    <n v="1783"/>
    <n v="1480"/>
    <n v="23896"/>
    <s v="Shipped"/>
    <s v="Completed"/>
    <n v="35366080"/>
    <n v="354"/>
    <n v="303"/>
    <x v="10"/>
    <n v="2025"/>
  </r>
  <r>
    <n v="230"/>
    <x v="1"/>
    <s v="Packaging"/>
    <x v="3"/>
    <s v="Smartphone"/>
    <x v="10"/>
    <s v="2025-08-11"/>
    <n v="4109"/>
    <n v="3922"/>
    <n v="113708"/>
    <s v="Pending"/>
    <s v="In Progress"/>
    <n v="445962776"/>
    <n v="4460"/>
    <n v="187"/>
    <x v="2"/>
    <n v="2025"/>
  </r>
  <r>
    <n v="231"/>
    <x v="2"/>
    <s v="Manufacturing"/>
    <x v="3"/>
    <s v="Smartphone"/>
    <x v="10"/>
    <s v="2025-06-19"/>
    <n v="4283"/>
    <n v="2961"/>
    <n v="110877"/>
    <s v="In Transit"/>
    <s v="Completed"/>
    <n v="328306797"/>
    <n v="3283"/>
    <n v="1322"/>
    <x v="7"/>
    <n v="2025"/>
  </r>
  <r>
    <n v="232"/>
    <x v="0"/>
    <s v="Assembly"/>
    <x v="3"/>
    <s v="Smartphone"/>
    <x v="11"/>
    <s v="2025-04-18"/>
    <n v="3257"/>
    <n v="3089"/>
    <n v="67402"/>
    <s v="Pending"/>
    <s v="Completed"/>
    <n v="208204778"/>
    <n v="2082"/>
    <n v="168"/>
    <x v="11"/>
    <n v="2025"/>
  </r>
  <r>
    <n v="233"/>
    <x v="4"/>
    <s v="Packaging"/>
    <x v="3"/>
    <s v="Smartphone"/>
    <x v="9"/>
    <s v="2025-12-20"/>
    <n v="2491"/>
    <n v="2182"/>
    <n v="40458"/>
    <s v="Shipped"/>
    <s v="Completed"/>
    <n v="88279356"/>
    <n v="883"/>
    <n v="309"/>
    <x v="8"/>
    <n v="2025"/>
  </r>
  <r>
    <n v="234"/>
    <x v="1"/>
    <s v="Testing"/>
    <x v="3"/>
    <s v="Smartphone"/>
    <x v="10"/>
    <s v="2025-05-22"/>
    <n v="1963"/>
    <n v="1228"/>
    <n v="27265"/>
    <s v="Pending"/>
    <s v="In Progress"/>
    <n v="33481420"/>
    <n v="335"/>
    <n v="735"/>
    <x v="5"/>
    <n v="2025"/>
  </r>
  <r>
    <n v="235"/>
    <x v="1"/>
    <s v="Assembly"/>
    <x v="3"/>
    <s v="Smartphone"/>
    <x v="11"/>
    <s v="2025-12-21"/>
    <n v="2832"/>
    <n v="2690"/>
    <n v="79545"/>
    <s v="In Transit"/>
    <s v="In Progress"/>
    <n v="213976050"/>
    <n v="2140"/>
    <n v="142"/>
    <x v="8"/>
    <n v="2025"/>
  </r>
  <r>
    <n v="236"/>
    <x v="1"/>
    <s v="Testing"/>
    <x v="3"/>
    <s v="Smartphone"/>
    <x v="10"/>
    <s v="2025-08-25"/>
    <n v="836"/>
    <n v="535"/>
    <n v="67316"/>
    <s v="Pending"/>
    <s v="Completed"/>
    <n v="36014060"/>
    <n v="360"/>
    <n v="301"/>
    <x v="2"/>
    <n v="2025"/>
  </r>
  <r>
    <n v="237"/>
    <x v="1"/>
    <s v="Testing"/>
    <x v="3"/>
    <s v="Smartphone"/>
    <x v="9"/>
    <s v="2025-06-06"/>
    <n v="2801"/>
    <n v="2384"/>
    <n v="91496"/>
    <s v="Pending"/>
    <s v="In Progress"/>
    <n v="218126464"/>
    <n v="2181"/>
    <n v="417"/>
    <x v="7"/>
    <n v="2025"/>
  </r>
  <r>
    <n v="238"/>
    <x v="4"/>
    <s v="Testing"/>
    <x v="3"/>
    <s v="Smartphone"/>
    <x v="9"/>
    <s v="2025-11-10"/>
    <n v="3388"/>
    <n v="2314"/>
    <n v="12894"/>
    <s v="Pending"/>
    <s v="Completed"/>
    <n v="29836716"/>
    <n v="298"/>
    <n v="1074"/>
    <x v="10"/>
    <n v="2025"/>
  </r>
  <r>
    <n v="239"/>
    <x v="2"/>
    <s v="Assembly"/>
    <x v="3"/>
    <s v="Smartphone"/>
    <x v="11"/>
    <s v="2025-09-09"/>
    <n v="1515"/>
    <n v="1143"/>
    <n v="73523"/>
    <s v="In Transit"/>
    <s v="Completed"/>
    <n v="84036789"/>
    <n v="840"/>
    <n v="372"/>
    <x v="9"/>
    <n v="2025"/>
  </r>
  <r>
    <n v="240"/>
    <x v="2"/>
    <s v="Packaging"/>
    <x v="3"/>
    <s v="Smartphone"/>
    <x v="10"/>
    <s v="2025-07-02"/>
    <n v="4520"/>
    <n v="4244"/>
    <n v="101061"/>
    <s v="Shipped"/>
    <s v="Completed"/>
    <n v="428902884"/>
    <n v="4289"/>
    <n v="276"/>
    <x v="4"/>
    <n v="2025"/>
  </r>
  <r>
    <n v="241"/>
    <x v="2"/>
    <s v="Testing"/>
    <x v="4"/>
    <s v="Smartphone"/>
    <x v="12"/>
    <s v="2025-03-12"/>
    <n v="800"/>
    <n v="625"/>
    <n v="66705"/>
    <s v="Pending"/>
    <s v="Completed"/>
    <n v="41690625"/>
    <n v="417"/>
    <n v="175"/>
    <x v="3"/>
    <n v="2025"/>
  </r>
  <r>
    <n v="242"/>
    <x v="4"/>
    <s v="Assembly"/>
    <x v="4"/>
    <s v="Smartphone"/>
    <x v="13"/>
    <s v="2025-12-14"/>
    <n v="3135"/>
    <n v="2878"/>
    <n v="57296"/>
    <s v="Pending"/>
    <s v="Completed"/>
    <n v="164897888"/>
    <n v="1649"/>
    <n v="257"/>
    <x v="8"/>
    <n v="2025"/>
  </r>
  <r>
    <n v="243"/>
    <x v="2"/>
    <s v="Packaging"/>
    <x v="4"/>
    <s v="Smartphone"/>
    <x v="12"/>
    <s v="2025-05-11"/>
    <n v="1051"/>
    <n v="787"/>
    <n v="71817"/>
    <s v="Shipped"/>
    <s v="Completed"/>
    <n v="56519979"/>
    <n v="565"/>
    <n v="264"/>
    <x v="5"/>
    <n v="2025"/>
  </r>
  <r>
    <n v="244"/>
    <x v="1"/>
    <s v="Packaging"/>
    <x v="4"/>
    <s v="Smartphone"/>
    <x v="14"/>
    <s v="2025-12-24"/>
    <n v="4779"/>
    <n v="2874"/>
    <n v="112251"/>
    <s v="Shipped"/>
    <s v="In Progress"/>
    <n v="322609374"/>
    <n v="3226"/>
    <n v="1905"/>
    <x v="8"/>
    <n v="2025"/>
  </r>
  <r>
    <n v="245"/>
    <x v="3"/>
    <s v="Packaging"/>
    <x v="4"/>
    <s v="Smartphone"/>
    <x v="12"/>
    <s v="2025-10-30"/>
    <n v="1104"/>
    <n v="980"/>
    <n v="46918"/>
    <s v="Shipped"/>
    <s v="In Progress"/>
    <n v="45979640"/>
    <n v="460"/>
    <n v="124"/>
    <x v="1"/>
    <n v="2025"/>
  </r>
  <r>
    <n v="246"/>
    <x v="0"/>
    <s v="Manufacturing"/>
    <x v="4"/>
    <s v="Smartphone"/>
    <x v="12"/>
    <s v="2025-08-26"/>
    <n v="1855"/>
    <n v="1310"/>
    <n v="47829"/>
    <s v="In Transit"/>
    <s v="In Progress"/>
    <n v="62655990"/>
    <n v="627"/>
    <n v="545"/>
    <x v="2"/>
    <n v="2025"/>
  </r>
  <r>
    <n v="247"/>
    <x v="0"/>
    <s v="Manufacturing"/>
    <x v="4"/>
    <s v="Smartphone"/>
    <x v="13"/>
    <s v="2025-03-20"/>
    <n v="776"/>
    <n v="702"/>
    <n v="65909"/>
    <s v="Pending"/>
    <s v="In Progress"/>
    <n v="46268118"/>
    <n v="463"/>
    <n v="74"/>
    <x v="3"/>
    <n v="2025"/>
  </r>
  <r>
    <n v="248"/>
    <x v="3"/>
    <s v="Assembly"/>
    <x v="4"/>
    <s v="Smartphone"/>
    <x v="12"/>
    <s v="2025-06-12"/>
    <n v="2354"/>
    <n v="1457"/>
    <n v="42853"/>
    <s v="In Transit"/>
    <s v="In Progress"/>
    <n v="62436821"/>
    <n v="624"/>
    <n v="897"/>
    <x v="7"/>
    <n v="2025"/>
  </r>
  <r>
    <n v="249"/>
    <x v="1"/>
    <s v="Packaging"/>
    <x v="4"/>
    <s v="Smartphone"/>
    <x v="13"/>
    <s v="2025-03-13"/>
    <n v="2132"/>
    <n v="1510"/>
    <n v="60334"/>
    <s v="Pending"/>
    <s v="In Progress"/>
    <n v="91104340"/>
    <n v="911"/>
    <n v="622"/>
    <x v="3"/>
    <n v="2025"/>
  </r>
  <r>
    <n v="250"/>
    <x v="1"/>
    <s v="Packaging"/>
    <x v="4"/>
    <s v="Smartphone"/>
    <x v="13"/>
    <s v="2025-02-28"/>
    <n v="2308"/>
    <n v="1857"/>
    <n v="76781"/>
    <s v="Pending"/>
    <s v="Completed"/>
    <n v="142582317"/>
    <n v="1426"/>
    <n v="451"/>
    <x v="0"/>
    <n v="2025"/>
  </r>
  <r>
    <n v="251"/>
    <x v="2"/>
    <s v="Packaging"/>
    <x v="4"/>
    <s v="Smartphone"/>
    <x v="14"/>
    <s v="2025-12-07"/>
    <n v="3459"/>
    <n v="2219"/>
    <n v="79811"/>
    <s v="Pending"/>
    <s v="Completed"/>
    <n v="177100609"/>
    <n v="1771"/>
    <n v="1240"/>
    <x v="8"/>
    <n v="2025"/>
  </r>
  <r>
    <n v="252"/>
    <x v="3"/>
    <s v="Manufacturing"/>
    <x v="4"/>
    <s v="Smartphone"/>
    <x v="14"/>
    <s v="2025-06-22"/>
    <n v="3144"/>
    <n v="2576"/>
    <n v="55085"/>
    <s v="In Transit"/>
    <s v="In Progress"/>
    <n v="141898960"/>
    <n v="1419"/>
    <n v="568"/>
    <x v="7"/>
    <n v="2025"/>
  </r>
  <r>
    <n v="253"/>
    <x v="4"/>
    <s v="Testing"/>
    <x v="4"/>
    <s v="Smartphone"/>
    <x v="14"/>
    <s v="2025-01-16"/>
    <n v="1842"/>
    <n v="1786"/>
    <n v="16671"/>
    <s v="Pending"/>
    <s v="In Progress"/>
    <n v="29774406"/>
    <n v="298"/>
    <n v="56"/>
    <x v="6"/>
    <n v="2025"/>
  </r>
  <r>
    <n v="254"/>
    <x v="2"/>
    <s v="Assembly"/>
    <x v="4"/>
    <s v="Smartphone"/>
    <x v="14"/>
    <s v="2025-06-17"/>
    <n v="4583"/>
    <n v="2769"/>
    <n v="75830"/>
    <s v="Pending"/>
    <s v="In Progress"/>
    <n v="209973270"/>
    <n v="2100"/>
    <n v="1814"/>
    <x v="7"/>
    <n v="2025"/>
  </r>
  <r>
    <n v="255"/>
    <x v="1"/>
    <s v="Packaging"/>
    <x v="4"/>
    <s v="Smartphone"/>
    <x v="12"/>
    <s v="2025-12-10"/>
    <n v="2785"/>
    <n v="1969"/>
    <n v="96984"/>
    <s v="Pending"/>
    <s v="Completed"/>
    <n v="190961496"/>
    <n v="1910"/>
    <n v="816"/>
    <x v="8"/>
    <n v="2025"/>
  </r>
  <r>
    <n v="256"/>
    <x v="0"/>
    <s v="Packaging"/>
    <x v="4"/>
    <s v="Smartphone"/>
    <x v="12"/>
    <s v="2025-07-02"/>
    <n v="1498"/>
    <n v="1222"/>
    <n v="52980"/>
    <s v="In Transit"/>
    <s v="Completed"/>
    <n v="64741560"/>
    <n v="647"/>
    <n v="276"/>
    <x v="4"/>
    <n v="2025"/>
  </r>
  <r>
    <n v="257"/>
    <x v="2"/>
    <s v="Manufacturing"/>
    <x v="4"/>
    <s v="Smartphone"/>
    <x v="12"/>
    <s v="2025-08-04"/>
    <n v="3999"/>
    <n v="3387"/>
    <n v="113052"/>
    <s v="In Transit"/>
    <s v="In Progress"/>
    <n v="382907124"/>
    <n v="3829"/>
    <n v="612"/>
    <x v="2"/>
    <n v="2025"/>
  </r>
  <r>
    <n v="258"/>
    <x v="0"/>
    <s v="Assembly"/>
    <x v="4"/>
    <s v="Smartphone"/>
    <x v="13"/>
    <s v="2025-07-18"/>
    <n v="3063"/>
    <n v="2297"/>
    <n v="90535"/>
    <s v="In Transit"/>
    <s v="In Progress"/>
    <n v="207958895"/>
    <n v="2080"/>
    <n v="766"/>
    <x v="4"/>
    <n v="2025"/>
  </r>
  <r>
    <n v="260"/>
    <x v="3"/>
    <s v="Manufacturing"/>
    <x v="4"/>
    <s v="Smartphone"/>
    <x v="14"/>
    <s v="2025-07-22"/>
    <n v="1976"/>
    <n v="1336"/>
    <n v="44209"/>
    <s v="Pending"/>
    <s v="In Progress"/>
    <n v="59063224"/>
    <n v="591"/>
    <n v="640"/>
    <x v="4"/>
    <n v="2025"/>
  </r>
  <r>
    <n v="261"/>
    <x v="0"/>
    <s v="Manufacturing"/>
    <x v="4"/>
    <s v="Smartphone"/>
    <x v="14"/>
    <s v="2025-05-28"/>
    <n v="2780"/>
    <n v="2239"/>
    <n v="51453"/>
    <s v="In Transit"/>
    <s v="Completed"/>
    <n v="115203267"/>
    <n v="1152"/>
    <n v="541"/>
    <x v="5"/>
    <n v="2025"/>
  </r>
  <r>
    <n v="262"/>
    <x v="0"/>
    <s v="Testing"/>
    <x v="4"/>
    <s v="Smartphone"/>
    <x v="13"/>
    <s v="2025-11-26"/>
    <n v="777"/>
    <n v="636"/>
    <n v="81058"/>
    <s v="Shipped"/>
    <s v="In Progress"/>
    <n v="51552888"/>
    <n v="516"/>
    <n v="141"/>
    <x v="10"/>
    <n v="2025"/>
  </r>
  <r>
    <n v="263"/>
    <x v="4"/>
    <s v="Testing"/>
    <x v="4"/>
    <s v="Smartphone"/>
    <x v="13"/>
    <s v="2025-11-16"/>
    <n v="3568"/>
    <n v="2756"/>
    <n v="57060"/>
    <s v="Shipped"/>
    <s v="In Progress"/>
    <n v="157257360"/>
    <n v="1573"/>
    <n v="812"/>
    <x v="10"/>
    <n v="2025"/>
  </r>
  <r>
    <n v="264"/>
    <x v="1"/>
    <s v="Testing"/>
    <x v="4"/>
    <s v="Smartphone"/>
    <x v="14"/>
    <s v="2025-05-18"/>
    <n v="3887"/>
    <n v="3097"/>
    <n v="45171"/>
    <s v="Shipped"/>
    <s v="In Progress"/>
    <n v="139894587"/>
    <n v="1399"/>
    <n v="790"/>
    <x v="5"/>
    <n v="2025"/>
  </r>
  <r>
    <n v="265"/>
    <x v="3"/>
    <s v="Manufacturing"/>
    <x v="4"/>
    <s v="Smartphone"/>
    <x v="13"/>
    <s v="2025-10-28"/>
    <n v="4153"/>
    <n v="3857"/>
    <n v="66208"/>
    <s v="In Transit"/>
    <s v="Completed"/>
    <n v="255364256"/>
    <n v="2554"/>
    <n v="296"/>
    <x v="1"/>
    <n v="2025"/>
  </r>
  <r>
    <n v="266"/>
    <x v="3"/>
    <s v="Packaging"/>
    <x v="4"/>
    <s v="Smartphone"/>
    <x v="14"/>
    <s v="2025-08-20"/>
    <n v="4610"/>
    <n v="3506"/>
    <n v="103246"/>
    <s v="In Transit"/>
    <s v="Completed"/>
    <n v="361980476"/>
    <n v="3620"/>
    <n v="1104"/>
    <x v="2"/>
    <n v="2025"/>
  </r>
  <r>
    <n v="267"/>
    <x v="1"/>
    <s v="Manufacturing"/>
    <x v="4"/>
    <s v="Smartphone"/>
    <x v="12"/>
    <s v="2025-01-01"/>
    <n v="2895"/>
    <n v="1991"/>
    <n v="77025"/>
    <s v="In Transit"/>
    <s v="In Progress"/>
    <n v="153356775"/>
    <n v="1534"/>
    <n v="904"/>
    <x v="6"/>
    <n v="2025"/>
  </r>
  <r>
    <n v="268"/>
    <x v="0"/>
    <s v="Packaging"/>
    <x v="4"/>
    <s v="Smartphone"/>
    <x v="12"/>
    <s v="2025-02-23"/>
    <n v="1732"/>
    <n v="1347"/>
    <n v="61454"/>
    <s v="In Transit"/>
    <s v="Completed"/>
    <n v="82778538"/>
    <n v="828"/>
    <n v="385"/>
    <x v="0"/>
    <n v="2025"/>
  </r>
  <r>
    <n v="269"/>
    <x v="1"/>
    <s v="Manufacturing"/>
    <x v="4"/>
    <s v="Smartphone"/>
    <x v="12"/>
    <s v="2025-05-27"/>
    <n v="1433"/>
    <n v="1088"/>
    <n v="13503"/>
    <s v="Pending"/>
    <s v="Completed"/>
    <n v="14691264"/>
    <n v="147"/>
    <n v="345"/>
    <x v="5"/>
    <n v="2025"/>
  </r>
  <r>
    <n v="270"/>
    <x v="1"/>
    <s v="Testing"/>
    <x v="4"/>
    <s v="Smartphone"/>
    <x v="13"/>
    <s v="2025-09-07"/>
    <n v="2725"/>
    <n v="1709"/>
    <n v="50916"/>
    <s v="In Transit"/>
    <s v="Completed"/>
    <n v="87015444"/>
    <n v="870"/>
    <n v="1016"/>
    <x v="9"/>
    <n v="2025"/>
  </r>
  <r>
    <n v="271"/>
    <x v="0"/>
    <s v="Manufacturing"/>
    <x v="4"/>
    <s v="Smartphone"/>
    <x v="12"/>
    <s v="2025-10-12"/>
    <n v="4819"/>
    <n v="4260"/>
    <n v="97197"/>
    <s v="Shipped"/>
    <s v="Completed"/>
    <n v="414059220"/>
    <n v="4141"/>
    <n v="559"/>
    <x v="1"/>
    <n v="2025"/>
  </r>
  <r>
    <n v="272"/>
    <x v="3"/>
    <s v="Testing"/>
    <x v="4"/>
    <s v="Smartphone"/>
    <x v="14"/>
    <s v="2025-11-02"/>
    <n v="4026"/>
    <n v="3922"/>
    <n v="86570"/>
    <s v="Pending"/>
    <s v="Completed"/>
    <n v="339527540"/>
    <n v="3395"/>
    <n v="104"/>
    <x v="10"/>
    <n v="2025"/>
  </r>
  <r>
    <n v="273"/>
    <x v="3"/>
    <s v="Manufacturing"/>
    <x v="4"/>
    <s v="Smartphone"/>
    <x v="14"/>
    <s v="2025-06-02"/>
    <n v="1876"/>
    <n v="1627"/>
    <n v="32359"/>
    <s v="Pending"/>
    <s v="Completed"/>
    <n v="52648093"/>
    <n v="526"/>
    <n v="249"/>
    <x v="7"/>
    <n v="2025"/>
  </r>
  <r>
    <n v="274"/>
    <x v="2"/>
    <s v="Manufacturing"/>
    <x v="4"/>
    <s v="Smartphone"/>
    <x v="13"/>
    <s v="2025-02-27"/>
    <n v="1000"/>
    <n v="632"/>
    <n v="73813"/>
    <s v="Pending"/>
    <s v="Completed"/>
    <n v="46649816"/>
    <n v="466"/>
    <n v="368"/>
    <x v="0"/>
    <n v="2025"/>
  </r>
  <r>
    <n v="275"/>
    <x v="2"/>
    <s v="Manufacturing"/>
    <x v="4"/>
    <s v="Smartphone"/>
    <x v="14"/>
    <s v="2025-05-29"/>
    <n v="4532"/>
    <n v="3126"/>
    <n v="41452"/>
    <s v="Pending"/>
    <s v="In Progress"/>
    <n v="129578952"/>
    <n v="1296"/>
    <n v="1406"/>
    <x v="5"/>
    <n v="2025"/>
  </r>
  <r>
    <n v="276"/>
    <x v="2"/>
    <s v="Packaging"/>
    <x v="4"/>
    <s v="Smartphone"/>
    <x v="13"/>
    <s v="2025-10-30"/>
    <n v="1164"/>
    <n v="1085"/>
    <n v="27371"/>
    <s v="Shipped"/>
    <s v="Completed"/>
    <n v="29697535"/>
    <n v="297"/>
    <n v="79"/>
    <x v="1"/>
    <n v="2025"/>
  </r>
  <r>
    <n v="277"/>
    <x v="1"/>
    <s v="Packaging"/>
    <x v="4"/>
    <s v="Smartphone"/>
    <x v="14"/>
    <s v="2025-12-12"/>
    <n v="4322"/>
    <n v="3771"/>
    <n v="21983"/>
    <s v="Shipped"/>
    <s v="Completed"/>
    <n v="82897893"/>
    <n v="829"/>
    <n v="551"/>
    <x v="8"/>
    <n v="2025"/>
  </r>
  <r>
    <n v="278"/>
    <x v="2"/>
    <s v="Testing"/>
    <x v="4"/>
    <s v="Smartphone"/>
    <x v="12"/>
    <s v="2025-04-08"/>
    <n v="3946"/>
    <n v="2727"/>
    <n v="26805"/>
    <s v="Shipped"/>
    <s v="Completed"/>
    <n v="73097235"/>
    <n v="731"/>
    <n v="1219"/>
    <x v="11"/>
    <n v="2025"/>
  </r>
  <r>
    <n v="280"/>
    <x v="1"/>
    <s v="Testing"/>
    <x v="4"/>
    <s v="Smartphone"/>
    <x v="12"/>
    <s v="2025-10-21"/>
    <n v="838"/>
    <n v="750"/>
    <n v="34584"/>
    <s v="In Transit"/>
    <s v="In Progress"/>
    <n v="25938000"/>
    <n v="259"/>
    <n v="88"/>
    <x v="1"/>
    <n v="2025"/>
  </r>
  <r>
    <n v="281"/>
    <x v="2"/>
    <s v="Assembly"/>
    <x v="4"/>
    <s v="Smartphone"/>
    <x v="14"/>
    <s v="2025-12-10"/>
    <n v="3826"/>
    <n v="2446"/>
    <n v="14911"/>
    <s v="Pending"/>
    <s v="Completed"/>
    <n v="36472306"/>
    <n v="365"/>
    <n v="1380"/>
    <x v="8"/>
    <n v="2025"/>
  </r>
  <r>
    <n v="282"/>
    <x v="4"/>
    <s v="Packaging"/>
    <x v="4"/>
    <s v="Smartphone"/>
    <x v="13"/>
    <s v="2025-10-16"/>
    <n v="4230"/>
    <n v="2955"/>
    <n v="88320"/>
    <s v="Shipped"/>
    <s v="Completed"/>
    <n v="260985600"/>
    <n v="2610"/>
    <n v="1275"/>
    <x v="1"/>
    <n v="2025"/>
  </r>
  <r>
    <n v="283"/>
    <x v="4"/>
    <s v="Testing"/>
    <x v="4"/>
    <s v="Smartphone"/>
    <x v="13"/>
    <s v="2025-05-15"/>
    <n v="2775"/>
    <n v="1878"/>
    <n v="43228"/>
    <s v="Shipped"/>
    <s v="In Progress"/>
    <n v="81182184"/>
    <n v="812"/>
    <n v="897"/>
    <x v="5"/>
    <n v="2025"/>
  </r>
  <r>
    <n v="284"/>
    <x v="2"/>
    <s v="Manufacturing"/>
    <x v="4"/>
    <s v="Smartphone"/>
    <x v="12"/>
    <s v="2025-07-06"/>
    <n v="4793"/>
    <n v="3082"/>
    <n v="95770"/>
    <s v="In Transit"/>
    <s v="In Progress"/>
    <n v="295163140"/>
    <n v="2952"/>
    <n v="1711"/>
    <x v="4"/>
    <n v="2025"/>
  </r>
  <r>
    <n v="285"/>
    <x v="2"/>
    <s v="Manufacturing"/>
    <x v="4"/>
    <s v="Smartphone"/>
    <x v="12"/>
    <s v="2025-01-23"/>
    <n v="4981"/>
    <n v="4898"/>
    <n v="18626"/>
    <s v="Shipped"/>
    <s v="In Progress"/>
    <n v="91230148"/>
    <n v="912"/>
    <n v="83"/>
    <x v="6"/>
    <n v="2025"/>
  </r>
  <r>
    <n v="286"/>
    <x v="0"/>
    <s v="Testing"/>
    <x v="4"/>
    <s v="Smartphone"/>
    <x v="14"/>
    <s v="2025-01-03"/>
    <n v="2207"/>
    <n v="2088"/>
    <n v="112423"/>
    <s v="Pending"/>
    <s v="In Progress"/>
    <n v="234739224"/>
    <n v="2347"/>
    <n v="119"/>
    <x v="6"/>
    <n v="2025"/>
  </r>
  <r>
    <n v="287"/>
    <x v="3"/>
    <s v="Manufacturing"/>
    <x v="4"/>
    <s v="Smartphone"/>
    <x v="13"/>
    <s v="2025-12-16"/>
    <n v="4891"/>
    <n v="4376"/>
    <n v="103003"/>
    <s v="Pending"/>
    <s v="In Progress"/>
    <n v="450741128"/>
    <n v="4507"/>
    <n v="515"/>
    <x v="8"/>
    <n v="2025"/>
  </r>
  <r>
    <n v="288"/>
    <x v="0"/>
    <s v="Packaging"/>
    <x v="4"/>
    <s v="Smartphone"/>
    <x v="13"/>
    <s v="2025-05-31"/>
    <n v="3040"/>
    <n v="1973"/>
    <n v="55486"/>
    <s v="Pending"/>
    <s v="Completed"/>
    <n v="109473878"/>
    <n v="1095"/>
    <n v="1067"/>
    <x v="5"/>
    <n v="2025"/>
  </r>
  <r>
    <n v="289"/>
    <x v="0"/>
    <s v="Manufacturing"/>
    <x v="4"/>
    <s v="Smartphone"/>
    <x v="12"/>
    <s v="2025-02-04"/>
    <n v="2806"/>
    <n v="2480"/>
    <n v="60915"/>
    <s v="Shipped"/>
    <s v="Completed"/>
    <n v="151069200"/>
    <n v="1511"/>
    <n v="326"/>
    <x v="0"/>
    <n v="2025"/>
  </r>
  <r>
    <n v="290"/>
    <x v="4"/>
    <s v="Testing"/>
    <x v="4"/>
    <s v="Smartphone"/>
    <x v="12"/>
    <s v="2025-01-25"/>
    <n v="3067"/>
    <n v="2374"/>
    <n v="21014"/>
    <s v="Shipped"/>
    <s v="Completed"/>
    <n v="49887236"/>
    <n v="499"/>
    <n v="693"/>
    <x v="6"/>
    <n v="2025"/>
  </r>
  <r>
    <n v="291"/>
    <x v="1"/>
    <s v="Testing"/>
    <x v="4"/>
    <s v="Smartphone"/>
    <x v="14"/>
    <s v="2025-05-08"/>
    <n v="4254"/>
    <n v="3753"/>
    <n v="35837"/>
    <s v="In Transit"/>
    <s v="In Progress"/>
    <n v="134496261"/>
    <n v="1345"/>
    <n v="501"/>
    <x v="5"/>
    <n v="2025"/>
  </r>
  <r>
    <n v="292"/>
    <x v="0"/>
    <s v="Testing"/>
    <x v="4"/>
    <s v="Smartphone"/>
    <x v="14"/>
    <s v="2025-12-28"/>
    <n v="3366"/>
    <n v="2048"/>
    <n v="37644"/>
    <s v="In Transit"/>
    <s v="Completed"/>
    <n v="77094912"/>
    <n v="771"/>
    <n v="1318"/>
    <x v="8"/>
    <n v="2025"/>
  </r>
  <r>
    <n v="293"/>
    <x v="3"/>
    <s v="Testing"/>
    <x v="4"/>
    <s v="Smartphone"/>
    <x v="12"/>
    <s v="2025-08-11"/>
    <n v="1963"/>
    <n v="1334"/>
    <n v="100346"/>
    <s v="Shipped"/>
    <s v="In Progress"/>
    <n v="133861564"/>
    <n v="1339"/>
    <n v="629"/>
    <x v="2"/>
    <n v="2025"/>
  </r>
  <r>
    <n v="294"/>
    <x v="0"/>
    <s v="Packaging"/>
    <x v="4"/>
    <s v="Smartphone"/>
    <x v="12"/>
    <s v="2025-12-23"/>
    <n v="2944"/>
    <n v="1938"/>
    <n v="38572"/>
    <s v="Shipped"/>
    <s v="Completed"/>
    <n v="74752536"/>
    <n v="748"/>
    <n v="1006"/>
    <x v="8"/>
    <n v="2025"/>
  </r>
  <r>
    <n v="295"/>
    <x v="1"/>
    <s v="Testing"/>
    <x v="4"/>
    <s v="Smartphone"/>
    <x v="12"/>
    <s v="2025-04-05"/>
    <n v="3022"/>
    <n v="2986"/>
    <n v="22383"/>
    <s v="Shipped"/>
    <s v="Completed"/>
    <n v="66835638"/>
    <n v="668"/>
    <n v="36"/>
    <x v="11"/>
    <n v="2025"/>
  </r>
  <r>
    <n v="296"/>
    <x v="1"/>
    <s v="Packaging"/>
    <x v="4"/>
    <s v="Smartphone"/>
    <x v="12"/>
    <s v="2025-08-05"/>
    <n v="3416"/>
    <n v="3234"/>
    <n v="96668"/>
    <s v="Shipped"/>
    <s v="Completed"/>
    <n v="312624312"/>
    <n v="3126"/>
    <n v="182"/>
    <x v="2"/>
    <n v="2025"/>
  </r>
  <r>
    <n v="297"/>
    <x v="4"/>
    <s v="Packaging"/>
    <x v="4"/>
    <s v="Smartphone"/>
    <x v="12"/>
    <s v="2025-09-09"/>
    <n v="4268"/>
    <n v="3629"/>
    <n v="46119"/>
    <s v="Pending"/>
    <s v="In Progress"/>
    <n v="167365851"/>
    <n v="1674"/>
    <n v="639"/>
    <x v="9"/>
    <n v="2025"/>
  </r>
  <r>
    <n v="298"/>
    <x v="0"/>
    <s v="Assembly"/>
    <x v="4"/>
    <s v="Smartphone"/>
    <x v="12"/>
    <s v="2025-03-14"/>
    <n v="3066"/>
    <n v="2071"/>
    <n v="64469"/>
    <s v="In Transit"/>
    <s v="Completed"/>
    <n v="133515299"/>
    <n v="1335"/>
    <n v="995"/>
    <x v="3"/>
    <n v="2025"/>
  </r>
  <r>
    <n v="299"/>
    <x v="4"/>
    <s v="Packaging"/>
    <x v="4"/>
    <s v="Smartphone"/>
    <x v="13"/>
    <s v="2025-01-16"/>
    <n v="1381"/>
    <n v="979"/>
    <n v="95278"/>
    <s v="Shipped"/>
    <s v="Completed"/>
    <n v="93277162"/>
    <n v="933"/>
    <n v="402"/>
    <x v="6"/>
    <n v="2025"/>
  </r>
  <r>
    <n v="300"/>
    <x v="3"/>
    <s v="Assembly"/>
    <x v="4"/>
    <s v="Smartphone"/>
    <x v="13"/>
    <s v="2025-05-31"/>
    <n v="1218"/>
    <n v="1201"/>
    <n v="91690"/>
    <s v="In Transit"/>
    <s v="Completed"/>
    <n v="110119690"/>
    <n v="1101"/>
    <n v="17"/>
    <x v="5"/>
    <n v="202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9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0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8:B14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4"/>
        <item t="data" sd="1" x="0"/>
        <item t="data" sd="1" x="3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dataFields count="1">
    <dataField name="Sum of Quantity Produced" fld="7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D8:E15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4"/>
        <item t="data" sd="1" x="0"/>
        <item t="data" sd="1" x="3"/>
        <item t="data" sd="1" x="2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Sum of Quantity Produced" fld="7" subtotal="sum" showDataAs="normal" baseField="0" baseItem="0"/>
  </dataFields>
  <formats count="1">
    <format action="formatting" dxfId="2">
      <pivotArea type="normal" dataOnly="0" outline="0" axis="axisValues" fieldPosition="0"/>
    </format>
  </format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6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G8:H24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1" x="0"/>
        <item t="data" sd="1" x="1"/>
        <item t="data" sd="1" x="2"/>
        <item t="data" sd="1" x="4"/>
        <item t="data" sd="1" x="3"/>
        <item t="data" sd="1" x="5"/>
        <item t="data" sd="1" x="14"/>
        <item t="data" sd="1" x="12"/>
        <item t="data" sd="1" x="13"/>
        <item t="data" sd="1" x="8"/>
        <item t="data" sd="1" x="6"/>
        <item t="data" sd="1" x="10"/>
        <item t="data" sd="1" x="11"/>
        <item t="data" sd="1" x="9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1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grand" r="0" i="0">
      <x v="0"/>
    </i>
  </rowItems>
  <colItems count="1">
    <i t="data" r="0" i="0"/>
  </colItems>
  <dataFields count="1">
    <dataField name="Sum of Quantity Produced" fld="7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0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G5:H21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6">
        <item t="data" sd="1" x="0"/>
        <item t="data" sd="1" x="1"/>
        <item t="data" sd="1" x="2"/>
        <item t="data" sd="1" x="4"/>
        <item t="data" sd="1" x="3"/>
        <item t="data" sd="1" x="5"/>
        <item t="data" sd="1" x="14"/>
        <item t="data" sd="1" x="12"/>
        <item t="data" sd="1" x="13"/>
        <item t="data" sd="1" x="8"/>
        <item t="data" sd="1" x="6"/>
        <item t="data" sd="1" x="10"/>
        <item t="data" sd="1" x="11"/>
        <item t="data" sd="1" x="9"/>
        <item t="data" sd="1" x="7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16">
    <i t="data" r="0" i="0">
      <x v="13"/>
    </i>
    <i t="data" r="0" i="0">
      <x v="4"/>
    </i>
    <i t="data" r="0" i="0">
      <x v="0"/>
    </i>
    <i t="data" r="0" i="0">
      <x v="7"/>
    </i>
    <i t="data" r="0" i="0">
      <x v="14"/>
    </i>
    <i t="data" r="0" i="0">
      <x v="6"/>
    </i>
    <i t="data" r="0" i="0">
      <x v="1"/>
    </i>
    <i t="data" r="0" i="0">
      <x v="11"/>
    </i>
    <i t="data" r="0" i="0">
      <x v="10"/>
    </i>
    <i t="data" r="0" i="0">
      <x v="5"/>
    </i>
    <i t="data" r="0" i="0">
      <x v="12"/>
    </i>
    <i t="data" r="0" i="0">
      <x v="3"/>
    </i>
    <i t="data" r="0" i="0">
      <x v="8"/>
    </i>
    <i t="data" r="0" i="0">
      <x v="9"/>
    </i>
    <i t="data" r="0" i="0">
      <x v="2"/>
    </i>
    <i t="grand" r="0" i="0">
      <x v="0"/>
    </i>
  </rowItems>
  <colItems count="1">
    <i t="data" r="0" i="0"/>
  </colItems>
  <dataFields count="1">
    <dataField name="Sum of Quantity Sold" fld="8" subtotal="sum" showDataAs="normal" baseField="5" baseItem="7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7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8:B14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4"/>
        <item t="data" sd="1" x="0"/>
        <item t="data" sd="1" x="3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dataFields count="1">
    <dataField name="Sum of Quantity Sold" fld="8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D8:E15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4"/>
        <item t="data" sd="1" x="0"/>
        <item t="data" sd="1" x="3"/>
        <item t="data" sd="1" x="2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Sum of Quantity Sold" fld="8" subtotal="sum" showDataAs="normal" baseField="0" baseItem="0"/>
  </dataFields>
  <formats count="1">
    <format action="formatting" dxfId="1">
      <pivotArea type="normal" dataOnly="0" labelOnly="1" outline="0" axis="axisValues" fieldPosition="0"/>
    </format>
  </formats>
  <chartFormats count="7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5"/>
          </reference>
        </references>
      </pivotArea>
    </chartFormat>
    <chartFormat chart="0" format="2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4"/>
          </reference>
        </references>
      </pivotArea>
    </chartFormat>
    <chartFormat chart="0" format="3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3"/>
          </reference>
        </references>
      </pivotArea>
    </chartFormat>
    <chartFormat chart="0" format="4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2"/>
          </reference>
        </references>
      </pivotArea>
    </chartFormat>
    <chartFormat chart="0" format="5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0" format="6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C8:D14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4"/>
        <item t="data" sd="1" x="0"/>
        <item t="data" sd="1" x="3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dataFields count="1">
    <dataField name="Sum of Revenue (Lakhs)" fld="13" subtotal="sum" showDataAs="normal" baseField="0" baseItem="0"/>
  </dataFields>
  <formats count="1">
    <format action="formatting" dxfId="0">
      <pivotArea type="normal" dataOnly="0" outline="0" axis="axisValues" fieldPosition="0"/>
    </format>
  </format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PivotTable1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C25:D32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4"/>
        <item t="data" sd="1" x="0"/>
        <item t="data" sd="1" x="3"/>
        <item t="data" sd="1" x="2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Sum of Revenue (Lakhs)" fld="13" subtotal="sum" showDataAs="normal" baseField="0" baseItem="0"/>
  </dataFields>
  <chartFormats count="7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4"/>
          </reference>
        </references>
      </pivotArea>
    </chartFormat>
    <chartFormat chart="0" format="2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3"/>
          </reference>
        </references>
      </pivotArea>
    </chartFormat>
    <chartFormat chart="0" format="3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2"/>
          </reference>
        </references>
      </pivotArea>
    </chartFormat>
    <chartFormat chart="0" format="4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0" format="5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0" format="6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:r="http://schemas.openxmlformats.org/officeDocument/2006/relationships" xmlns="http://schemas.openxmlformats.org/spreadsheetml/2006/main" name="PivotTable16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C38:D54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1" x="0"/>
        <item t="data" sd="1" x="1"/>
        <item t="data" sd="1" x="2"/>
        <item t="data" sd="1" x="4"/>
        <item t="data" sd="1" x="3"/>
        <item t="data" sd="1" x="5"/>
        <item t="data" sd="1" x="14"/>
        <item t="data" sd="1" x="12"/>
        <item t="data" sd="1" x="13"/>
        <item t="data" sd="1" x="8"/>
        <item t="data" sd="1" x="6"/>
        <item t="data" sd="1" x="10"/>
        <item t="data" sd="1" x="11"/>
        <item t="data" sd="1" x="9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1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grand" r="0" i="0">
      <x v="0"/>
    </i>
  </rowItems>
  <colItems count="1">
    <i t="data" r="0" i="0"/>
  </colItems>
  <dataFields count="1">
    <dataField name="Sum of Revenue (Lakhs)" fld="13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:r="http://schemas.openxmlformats.org/officeDocument/2006/relationships" xmlns="http://schemas.openxmlformats.org/spreadsheetml/2006/main" name="PivotTable17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D9:E15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4"/>
        <item t="data" sd="1" x="0"/>
        <item t="data" sd="1" x="3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dataFields count="1">
    <dataField name="Sum of Unsold Quantity" fld="14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:r="http://schemas.openxmlformats.org/officeDocument/2006/relationships" xmlns="http://schemas.openxmlformats.org/spreadsheetml/2006/main" name="PivotTable1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D26:E33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4"/>
        <item t="data" sd="1" x="0"/>
        <item t="data" sd="1" x="3"/>
        <item t="data" sd="1" x="2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Sum of Unsold Quantity" fld="14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:r="http://schemas.openxmlformats.org/officeDocument/2006/relationships" xmlns="http://schemas.openxmlformats.org/spreadsheetml/2006/main" name="PivotTable19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D41:E57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ascending" defaultSubtotal="1">
      <items count="16">
        <item t="data" sd="1" x="0"/>
        <item t="data" sd="1" x="1"/>
        <item t="data" sd="1" x="2"/>
        <item t="data" sd="1" x="4"/>
        <item t="data" sd="1" x="3"/>
        <item t="data" sd="1" x="5"/>
        <item t="data" sd="1" x="14"/>
        <item t="data" sd="1" x="12"/>
        <item t="data" sd="1" x="13"/>
        <item t="data" sd="1" x="8"/>
        <item t="data" sd="1" x="6"/>
        <item t="data" sd="1" x="10"/>
        <item t="data" sd="1" x="11"/>
        <item t="data" sd="1" x="9"/>
        <item t="data" sd="1" x="7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16">
    <i t="data" r="0" i="0">
      <x v="5"/>
    </i>
    <i t="data" r="0" i="0">
      <x v="9"/>
    </i>
    <i t="data" r="0" i="0">
      <x v="12"/>
    </i>
    <i t="data" r="0" i="0">
      <x v="3"/>
    </i>
    <i t="data" r="0" i="0">
      <x v="8"/>
    </i>
    <i t="data" r="0" i="0">
      <x v="10"/>
    </i>
    <i t="data" r="0" i="0">
      <x v="2"/>
    </i>
    <i t="data" r="0" i="0">
      <x v="14"/>
    </i>
    <i t="data" r="0" i="0">
      <x v="11"/>
    </i>
    <i t="data" r="0" i="0">
      <x v="1"/>
    </i>
    <i t="data" r="0" i="0">
      <x v="7"/>
    </i>
    <i t="data" r="0" i="0">
      <x v="0"/>
    </i>
    <i t="data" r="0" i="0">
      <x v="6"/>
    </i>
    <i t="data" r="0" i="0">
      <x v="4"/>
    </i>
    <i t="data" r="0" i="0">
      <x v="13"/>
    </i>
    <i t="grand" r="0" i="0">
      <x v="0"/>
    </i>
  </rowItems>
  <colItems count="1">
    <i t="data" r="0" i="0"/>
  </colItems>
  <dataFields count="1">
    <dataField name="Sum of Unsold Quantity" fld="14" subtotal="sum" showDataAs="normal" baseField="0" baseItem="0"/>
  </dataFields>
  <chartFormats count="16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14"/>
          </reference>
        </references>
      </pivotArea>
    </chartFormat>
    <chartFormat chart="0" format="2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13"/>
          </reference>
        </references>
      </pivotArea>
    </chartFormat>
    <chartFormat chart="0" format="3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12"/>
          </reference>
        </references>
      </pivotArea>
    </chartFormat>
    <chartFormat chart="0" format="4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11"/>
          </reference>
        </references>
      </pivotArea>
    </chartFormat>
    <chartFormat chart="0" format="5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10"/>
          </reference>
        </references>
      </pivotArea>
    </chartFormat>
    <chartFormat chart="0" format="6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9"/>
          </reference>
        </references>
      </pivotArea>
    </chartFormat>
    <chartFormat chart="0" format="7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8"/>
          </reference>
        </references>
      </pivotArea>
    </chartFormat>
    <chartFormat chart="0" format="8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7"/>
          </reference>
        </references>
      </pivotArea>
    </chartFormat>
    <chartFormat chart="0" format="9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6"/>
          </reference>
        </references>
      </pivotArea>
    </chartFormat>
    <chartFormat chart="0" format="10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5"/>
          </reference>
        </references>
      </pivotArea>
    </chartFormat>
    <chartFormat chart="0" format="11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4"/>
          </reference>
        </references>
      </pivotArea>
    </chartFormat>
    <chartFormat chart="0" format="12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3"/>
          </reference>
        </references>
      </pivotArea>
    </chartFormat>
    <chartFormat chart="0" format="13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2"/>
          </reference>
        </references>
      </pivotArea>
    </chartFormat>
    <chartFormat chart="0" format="14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1"/>
          </reference>
        </references>
      </pivotArea>
    </chartFormat>
    <chartFormat chart="0" format="15" series="0">
      <pivotArea type="data" dataOnly="1" outline="0" fieldPosition="0">
        <references count="2">
          <reference field="4294967294" selected="0">
            <x v="0"/>
          </reference>
          <reference field="5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D10:E23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6"/>
        <item t="data" sd="1" x="0"/>
        <item t="data" sd="1" x="3"/>
        <item t="data" sd="1" x="11"/>
        <item t="data" sd="1" x="5"/>
        <item t="data" sd="1" x="7"/>
        <item t="data" sd="1" x="4"/>
        <item t="data" sd="1" x="2"/>
        <item t="data" sd="1" x="9"/>
        <item t="data" sd="1" x="1"/>
        <item t="data" sd="1" x="10"/>
        <item t="data" sd="1" x="8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5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Quantity Produced" fld="7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4.xml><?xml version="1.0" encoding="utf-8"?>
<pivotTableDefinition xmlns:r="http://schemas.openxmlformats.org/officeDocument/2006/relationships" xmlns="http://schemas.openxmlformats.org/spreadsheetml/2006/main" name="PivotTable2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D30:E43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6"/>
        <item t="data" sd="1" x="0"/>
        <item t="data" sd="1" x="3"/>
        <item t="data" sd="1" x="11"/>
        <item t="data" sd="1" x="5"/>
        <item t="data" sd="1" x="7"/>
        <item t="data" sd="1" x="4"/>
        <item t="data" sd="1" x="2"/>
        <item t="data" sd="1" x="9"/>
        <item t="data" sd="1" x="1"/>
        <item t="data" sd="1" x="10"/>
        <item t="data" sd="1" x="8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5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Quantity Sold" fld="8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5.xml><?xml version="1.0" encoding="utf-8"?>
<pivotTableDefinition xmlns:r="http://schemas.openxmlformats.org/officeDocument/2006/relationships" xmlns="http://schemas.openxmlformats.org/spreadsheetml/2006/main" name="PivotTable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D50:E63" firstHeaderRow="1" firstDataRow="1" firstDataCol="1"/>
  <pivotFields count="1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6"/>
        <item t="data" sd="1" x="0"/>
        <item t="data" sd="1" x="3"/>
        <item t="data" sd="1" x="11"/>
        <item t="data" sd="1" x="5"/>
        <item t="data" sd="1" x="7"/>
        <item t="data" sd="1" x="4"/>
        <item t="data" sd="1" x="2"/>
        <item t="data" sd="1" x="9"/>
        <item t="data" sd="1" x="1"/>
        <item t="data" sd="1" x="10"/>
        <item t="data" sd="1" x="8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5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Revenue (Lakhs)" fld="13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Q291" headerRowCount="1" totalsRowShown="0" headerRowDxfId="16">
  <autoFilter ref="A1:Q291"/>
  <tableColumns count="17">
    <tableColumn id="1" name="Serial No" dataDxfId="15"/>
    <tableColumn id="18" name="Plant Name" dataDxfId="14"/>
    <tableColumn id="3" name="Plant Type" dataDxfId="13"/>
    <tableColumn id="4" name="Brand" dataDxfId="12"/>
    <tableColumn id="5" name="Product" dataDxfId="11"/>
    <tableColumn id="6" name="Model" dataDxfId="10"/>
    <tableColumn id="7" name="Production Date" dataDxfId="9"/>
    <tableColumn id="8" name="Quantity Produced" dataDxfId="8"/>
    <tableColumn id="9" name="Quantity Sold" dataDxfId="7"/>
    <tableColumn id="10" name="Unit Price" dataDxfId="6"/>
    <tableColumn id="11" name="Shipping Status" dataDxfId="5"/>
    <tableColumn id="12" name="Completion Status" dataDxfId="4"/>
    <tableColumn id="13" name="Revenue">
      <calculatedColumnFormula>I2*J2</calculatedColumnFormula>
    </tableColumn>
    <tableColumn id="17" name="Revenue (Crores)" dataDxfId="3">
      <calculatedColumnFormula>ROUND(M2/100000, 0)</calculatedColumnFormula>
    </tableColumn>
    <tableColumn id="14" name="Unsold Quantity">
      <calculatedColumnFormula>H2-I2</calculatedColumnFormula>
    </tableColumn>
    <tableColumn id="15" name="Month">
      <calculatedColumnFormula>TEXT(G2,"mmmm")</calculatedColumnFormula>
    </tableColumn>
    <tableColumn id="16" name="Year">
      <calculatedColumnFormula>YEAR(G2)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pivotTable" Target="/xl/pivotTables/pivotTable4.xml" Id="rId2"/><Relationship Type="http://schemas.openxmlformats.org/officeDocument/2006/relationships/pivotTable" Target="/xl/pivotTables/pivotTable5.xml" Id="rId3"/><Relationship Type="http://schemas.openxmlformats.org/officeDocument/2006/relationships/pivotTable" Target="/xl/pivotTables/pivotTable6.xml" Id="rId4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pivotTable" Target="/xl/pivotTables/pivotTable7.xml" Id="rId2"/><Relationship Type="http://schemas.openxmlformats.org/officeDocument/2006/relationships/pivotTable" Target="/xl/pivotTables/pivotTable8.xml" Id="rId3"/><Relationship Type="http://schemas.openxmlformats.org/officeDocument/2006/relationships/pivotTable" Target="/xl/pivotTables/pivotTable9.xml" Id="rId4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pivotTable" Target="/xl/pivotTables/pivotTable10.xml" Id="rId2"/><Relationship Type="http://schemas.openxmlformats.org/officeDocument/2006/relationships/pivotTable" Target="/xl/pivotTables/pivotTable11.xml" Id="rId3"/><Relationship Type="http://schemas.openxmlformats.org/officeDocument/2006/relationships/pivotTable" Target="/xl/pivotTables/pivotTable12.xml" Id="rId4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pivotTable" Target="/xl/pivotTables/pivotTable13.xml" Id="rId2"/><Relationship Type="http://schemas.openxmlformats.org/officeDocument/2006/relationships/pivotTable" Target="/xl/pivotTables/pivotTable14.xml" Id="rId3"/><Relationship Type="http://schemas.openxmlformats.org/officeDocument/2006/relationships/pivotTable" Target="/xl/pivotTables/pivotTable15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91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.5" customWidth="1" style="18" min="1" max="1"/>
    <col width="16" customWidth="1" style="18" min="2" max="2"/>
    <col width="14" customWidth="1" style="18" min="3" max="3"/>
    <col width="14" customWidth="1" style="18" min="4" max="4"/>
    <col width="15" customWidth="1" style="18" min="5" max="5"/>
    <col width="13" customWidth="1" style="18" min="6" max="6"/>
    <col width="2.5" customWidth="1" style="18" min="7" max="7"/>
    <col width="15" customWidth="1" style="18" min="8" max="8"/>
    <col width="15" customWidth="1" style="18" min="9" max="9"/>
    <col width="15" customWidth="1" style="18" min="10" max="10"/>
    <col width="15" customWidth="1" style="18" min="11" max="11"/>
    <col width="15" customWidth="1" style="18" min="12" max="12"/>
    <col width="15" customWidth="1" style="18" min="13" max="13"/>
    <col width="15" customWidth="1" style="18" min="14" max="14"/>
    <col width="15" customWidth="1" style="18" min="15" max="15"/>
    <col width="15" customWidth="1" style="18" min="16" max="16"/>
    <col width="2.5" customWidth="1" style="18" min="17" max="17"/>
  </cols>
  <sheetData>
    <row r="2" ht="34" customHeight="1" s="18">
      <c r="B2" s="58" t="inlineStr">
        <is>
          <t>MOBILE MANUFACTURING — CONSOLIDATED DASHBOARD</t>
        </is>
      </c>
    </row>
    <row r="3" ht="18" customHeight="1" s="18">
      <c r="B3" s="59" t="inlineStr">
        <is>
          <t>Production  •  Sales  •  Revenue  •  Inventory  •  Monthly Trends   |   Live links to analysis sheets — refresh source data and this dashboard updates</t>
        </is>
      </c>
    </row>
    <row r="5" ht="18" customHeight="1" s="18">
      <c r="B5" s="60" t="inlineStr">
        <is>
          <t>TOTAL PRODUCTION</t>
        </is>
      </c>
      <c r="D5" s="61" t="inlineStr">
        <is>
          <t>TOTAL SALES</t>
        </is>
      </c>
      <c r="F5" s="62" t="inlineStr">
        <is>
          <t>TOTAL REVENUE (LAKHS)</t>
        </is>
      </c>
      <c r="H5" s="63" t="inlineStr">
        <is>
          <t>UNSOLD INVENTORY</t>
        </is>
      </c>
      <c r="J5" s="64" t="inlineStr">
        <is>
          <t>INVENTORY UTILIZATION</t>
        </is>
      </c>
      <c r="L5" s="65" t="inlineStr">
        <is>
          <t>TOTAL BRANDS</t>
        </is>
      </c>
    </row>
    <row r="6" ht="20" customHeight="1" s="18">
      <c r="B6" s="66">
        <f>'Production Analysis'!B3</f>
        <v>812043</v>
      </c>
      <c r="D6" s="67">
        <f>'Sales Analysis'!B3</f>
        <v>641347</v>
      </c>
      <c r="F6" s="68">
        <f>'Revenue Analysis'!B3</f>
        <v>403008</v>
      </c>
      <c r="H6" s="69">
        <f>'Inventory Analysis'!I3</f>
        <v>170696</v>
      </c>
      <c r="J6" s="70">
        <f>'Inventory Analysis'!M3</f>
        <v>0.7897943828097773</v>
      </c>
      <c r="L6" s="71">
        <f>'Production Analysis'!D3</f>
        <v>5</v>
      </c>
    </row>
    <row r="7" ht="20" customHeight="1" s="18"/>
    <row r="9" ht="24" customHeight="1" s="18">
      <c r="B9" s="72" t="inlineStr">
        <is>
          <t>Avg Production</t>
        </is>
      </c>
      <c r="C9" s="73" t="n"/>
      <c r="D9" s="72" t="inlineStr">
        <is>
          <t>Avg Sales</t>
        </is>
      </c>
      <c r="E9" s="73" t="n"/>
      <c r="F9" s="72" t="inlineStr">
        <is>
          <t>Avg Revenue (Lakhs)</t>
        </is>
      </c>
      <c r="G9" s="73" t="n"/>
      <c r="H9" s="72" t="inlineStr">
        <is>
          <t>Max Production (Model)</t>
        </is>
      </c>
      <c r="I9" s="73" t="n"/>
      <c r="J9" s="72" t="inlineStr">
        <is>
          <t>Min Production (Model)</t>
        </is>
      </c>
      <c r="K9" s="73" t="n"/>
      <c r="L9" s="72" t="inlineStr">
        <is>
          <t>Highest Sales (Model)</t>
        </is>
      </c>
      <c r="M9" s="73" t="n"/>
      <c r="N9" s="72" t="inlineStr">
        <is>
          <t>Lowest Sales (Model)</t>
        </is>
      </c>
      <c r="O9" s="73" t="n"/>
    </row>
    <row r="10" ht="20" customHeight="1" s="18">
      <c r="B10" s="74">
        <f>'Production Analysis'!F3</f>
        <v>2800</v>
      </c>
      <c r="C10" s="73" t="n"/>
      <c r="D10" s="74">
        <f>'Sales Analysis'!D3</f>
        <v>2212</v>
      </c>
      <c r="E10" s="73" t="n"/>
      <c r="F10" s="74">
        <f>'Revenue Analysis'!E3</f>
        <v>1390</v>
      </c>
      <c r="G10" s="73" t="n"/>
      <c r="H10" s="74">
        <f>'Production Analysis'!H3</f>
        <v>4987</v>
      </c>
      <c r="I10" s="73" t="n"/>
      <c r="J10" s="74">
        <f>'Production Analysis'!J3</f>
        <v>511</v>
      </c>
      <c r="K10" s="73" t="n"/>
      <c r="L10" s="74">
        <f>'Sales Analysis'!F3</f>
        <v>4898</v>
      </c>
      <c r="M10" s="73" t="n"/>
      <c r="N10" s="74">
        <f>'Sales Analysis'!H3</f>
        <v>337</v>
      </c>
      <c r="O10" s="73" t="n"/>
    </row>
    <row r="12">
      <c r="B12" s="75" t="inlineStr">
        <is>
          <t>Brand-wise Performance</t>
        </is>
      </c>
    </row>
    <row r="13">
      <c r="B13" s="76" t="inlineStr">
        <is>
          <t>Brand</t>
        </is>
      </c>
      <c r="C13" s="76" t="inlineStr">
        <is>
          <t>Production</t>
        </is>
      </c>
      <c r="D13" s="76" t="inlineStr">
        <is>
          <t>Sales</t>
        </is>
      </c>
      <c r="E13" s="76" t="inlineStr">
        <is>
          <t>Revenue (Lakhs)</t>
        </is>
      </c>
      <c r="F13" s="76" t="inlineStr">
        <is>
          <t>Unsold Qty</t>
        </is>
      </c>
    </row>
    <row r="14">
      <c r="B14" s="77" t="inlineStr">
        <is>
          <t>Apple</t>
        </is>
      </c>
      <c r="C14" s="78">
        <f>INDEX('Production Analysis'!$B$9:$B$13,MATCH($B14,'Production Analysis'!$A$9:$A$13,0))</f>
        <v>162257</v>
      </c>
      <c r="D14" s="78">
        <f>INDEX('Sales Analysis'!$B$9:$B$13,MATCH($B14,'Sales Analysis'!$A$9:$A$13,0))</f>
        <v>130533</v>
      </c>
      <c r="E14" s="78">
        <f>INDEX('Revenue Analysis'!$D$9:$D$13,MATCH($B14,'Revenue Analysis'!$C$9:$C$13,0))</f>
        <v>97452</v>
      </c>
      <c r="F14" s="78">
        <f>INDEX('Inventory Analysis'!$E$10:$E$14,MATCH($B14,'Inventory Analysis'!$D$10:$D$14,0))</f>
        <v>31724</v>
      </c>
    </row>
    <row r="15">
      <c r="B15" s="79" t="inlineStr">
        <is>
          <t>Oneplus</t>
        </is>
      </c>
      <c r="C15" s="80">
        <f>INDEX('Production Analysis'!$B$9:$B$13,MATCH($B15,'Production Analysis'!$A$9:$A$13,0))</f>
        <v>167240</v>
      </c>
      <c r="D15" s="80">
        <f>INDEX('Sales Analysis'!$B$9:$B$13,MATCH($B15,'Sales Analysis'!$A$9:$A$13,0))</f>
        <v>130390</v>
      </c>
      <c r="E15" s="80">
        <f>INDEX('Revenue Analysis'!$D$9:$D$13,MATCH($B15,'Revenue Analysis'!$C$9:$C$13,0))</f>
        <v>81796</v>
      </c>
      <c r="F15" s="80">
        <f>INDEX('Inventory Analysis'!$E$10:$E$14,MATCH($B15,'Inventory Analysis'!$D$10:$D$14,0))</f>
        <v>36850</v>
      </c>
    </row>
    <row r="16">
      <c r="B16" s="77" t="inlineStr">
        <is>
          <t>Samsung</t>
        </is>
      </c>
      <c r="C16" s="78">
        <f>INDEX('Production Analysis'!$B$9:$B$13,MATCH($B16,'Production Analysis'!$A$9:$A$13,0))</f>
        <v>167106</v>
      </c>
      <c r="D16" s="78">
        <f>INDEX('Sales Analysis'!$B$9:$B$13,MATCH($B16,'Sales Analysis'!$A$9:$A$13,0))</f>
        <v>130382</v>
      </c>
      <c r="E16" s="78">
        <f>INDEX('Revenue Analysis'!$D$9:$D$13,MATCH($B16,'Revenue Analysis'!$C$9:$C$13,0))</f>
        <v>85889</v>
      </c>
      <c r="F16" s="78">
        <f>INDEX('Inventory Analysis'!$E$10:$E$14,MATCH($B16,'Inventory Analysis'!$D$10:$D$14,0))</f>
        <v>36724</v>
      </c>
    </row>
    <row r="17">
      <c r="B17" s="79" t="inlineStr">
        <is>
          <t>Vivo</t>
        </is>
      </c>
      <c r="C17" s="80">
        <f>INDEX('Production Analysis'!$B$9:$B$13,MATCH($B17,'Production Analysis'!$A$9:$A$13,0))</f>
        <v>171213</v>
      </c>
      <c r="D17" s="80">
        <f>INDEX('Sales Analysis'!$B$9:$B$13,MATCH($B17,'Sales Analysis'!$A$9:$A$13,0))</f>
        <v>134317</v>
      </c>
      <c r="E17" s="80">
        <f>INDEX('Revenue Analysis'!$D$9:$D$13,MATCH($B17,'Revenue Analysis'!$C$9:$C$13,0))</f>
        <v>91271</v>
      </c>
      <c r="F17" s="80">
        <f>INDEX('Inventory Analysis'!$E$10:$E$14,MATCH($B17,'Inventory Analysis'!$D$10:$D$14,0))</f>
        <v>36896</v>
      </c>
    </row>
    <row r="18">
      <c r="B18" s="77" t="inlineStr">
        <is>
          <t>Xiaomi</t>
        </is>
      </c>
      <c r="C18" s="78">
        <f>INDEX('Production Analysis'!$B$9:$B$13,MATCH($B18,'Production Analysis'!$A$9:$A$13,0))</f>
        <v>144227</v>
      </c>
      <c r="D18" s="78">
        <f>INDEX('Sales Analysis'!$B$9:$B$13,MATCH($B18,'Sales Analysis'!$A$9:$A$13,0))</f>
        <v>115725</v>
      </c>
      <c r="E18" s="78">
        <f>INDEX('Revenue Analysis'!$D$9:$D$13,MATCH($B18,'Revenue Analysis'!$C$9:$C$13,0))</f>
        <v>75077</v>
      </c>
      <c r="F18" s="78">
        <f>INDEX('Inventory Analysis'!$E$10:$E$14,MATCH($B18,'Inventory Analysis'!$D$10:$D$14,0))</f>
        <v>28502</v>
      </c>
    </row>
    <row r="19">
      <c r="B19" s="81" t="inlineStr">
        <is>
          <t>Total</t>
        </is>
      </c>
      <c r="C19" s="82">
        <f>SUM(C14:C18)</f>
        <v>812043</v>
      </c>
      <c r="D19" s="82">
        <f>SUM(D14:D18)</f>
        <v>641347</v>
      </c>
      <c r="E19" s="82">
        <f>SUM(E14:E18)</f>
        <v>431485</v>
      </c>
      <c r="F19" s="82">
        <f>SUM(F14:F18)</f>
        <v>170696</v>
      </c>
    </row>
    <row r="21">
      <c r="B21" s="75" t="inlineStr">
        <is>
          <t>Plant-wise Performance</t>
        </is>
      </c>
    </row>
    <row r="22">
      <c r="B22" s="76" t="inlineStr">
        <is>
          <t>Plant</t>
        </is>
      </c>
      <c r="C22" s="76" t="inlineStr">
        <is>
          <t>Production</t>
        </is>
      </c>
      <c r="D22" s="76" t="inlineStr">
        <is>
          <t>Sales</t>
        </is>
      </c>
      <c r="E22" s="76" t="inlineStr">
        <is>
          <t>Revenue (Lakhs)</t>
        </is>
      </c>
      <c r="F22" s="76" t="inlineStr">
        <is>
          <t>Unsold Qty</t>
        </is>
      </c>
    </row>
    <row r="23">
      <c r="B23" s="77" t="inlineStr">
        <is>
          <t>Bengaluru Plant</t>
        </is>
      </c>
      <c r="C23" s="78">
        <f>INDEX('Production Analysis'!$E$9:$E$14,MATCH($B23,'Production Analysis'!$D$9:$D$14,0))</f>
        <v>176750</v>
      </c>
      <c r="D23" s="78">
        <f>INDEX('Sales Analysis'!$E$9:$E$14,MATCH($B23,'Sales Analysis'!$D$9:$D$14,0))</f>
        <v>142085</v>
      </c>
      <c r="E23" s="78">
        <f>INDEX('Revenue Analysis'!$D$26:$D$31,MATCH($B23,'Revenue Analysis'!$C$26:$C$31,0))</f>
        <v>93530</v>
      </c>
      <c r="F23" s="78">
        <f>INDEX('Inventory Analysis'!$E$27:$E$32,MATCH($B23,'Inventory Analysis'!$D$27:$D$32,0))</f>
        <v>34665</v>
      </c>
    </row>
    <row r="24">
      <c r="B24" s="79" t="inlineStr">
        <is>
          <t>Chennai Plant</t>
        </is>
      </c>
      <c r="C24" s="80">
        <f>INDEX('Production Analysis'!$E$9:$E$14,MATCH($B24,'Production Analysis'!$D$9:$D$14,0))</f>
        <v>132193</v>
      </c>
      <c r="D24" s="80">
        <f>INDEX('Sales Analysis'!$E$9:$E$14,MATCH($B24,'Sales Analysis'!$D$9:$D$14,0))</f>
        <v>106906</v>
      </c>
      <c r="E24" s="80">
        <f>INDEX('Revenue Analysis'!$D$26:$D$31,MATCH($B24,'Revenue Analysis'!$C$26:$C$31,0))</f>
        <v>69804</v>
      </c>
      <c r="F24" s="80">
        <f>INDEX('Inventory Analysis'!$E$27:$E$32,MATCH($B24,'Inventory Analysis'!$D$27:$D$32,0))</f>
        <v>25287</v>
      </c>
    </row>
    <row r="25">
      <c r="B25" s="77" t="inlineStr">
        <is>
          <t>Noida Plant</t>
        </is>
      </c>
      <c r="C25" s="78">
        <f>INDEX('Production Analysis'!$E$9:$E$14,MATCH($B25,'Production Analysis'!$D$9:$D$14,0))</f>
        <v>162038</v>
      </c>
      <c r="D25" s="78">
        <f>INDEX('Sales Analysis'!$E$9:$E$14,MATCH($B25,'Sales Analysis'!$D$9:$D$14,0))</f>
        <v>124925</v>
      </c>
      <c r="E25" s="78">
        <f>INDEX('Revenue Analysis'!$D$26:$D$31,MATCH($B25,'Revenue Analysis'!$C$26:$C$31,0))</f>
        <v>94173</v>
      </c>
      <c r="F25" s="78">
        <f>INDEX('Inventory Analysis'!$E$27:$E$32,MATCH($B25,'Inventory Analysis'!$D$27:$D$32,0))</f>
        <v>37113</v>
      </c>
    </row>
    <row r="26">
      <c r="B26" s="79" t="inlineStr">
        <is>
          <t>Pune Plant</t>
        </is>
      </c>
      <c r="C26" s="80">
        <f>INDEX('Production Analysis'!$E$9:$E$14,MATCH($B26,'Production Analysis'!$D$9:$D$14,0))</f>
        <v>174566</v>
      </c>
      <c r="D26" s="80">
        <f>INDEX('Sales Analysis'!$E$9:$E$14,MATCH($B26,'Sales Analysis'!$D$9:$D$14,0))</f>
        <v>138095</v>
      </c>
      <c r="E26" s="80">
        <f>INDEX('Revenue Analysis'!$D$26:$D$31,MATCH($B26,'Revenue Analysis'!$C$26:$C$31,0))</f>
        <v>85252</v>
      </c>
      <c r="F26" s="80">
        <f>INDEX('Inventory Analysis'!$E$27:$E$32,MATCH($B26,'Inventory Analysis'!$D$27:$D$32,0))</f>
        <v>36471</v>
      </c>
    </row>
    <row r="27">
      <c r="B27" s="77" t="inlineStr">
        <is>
          <t>Sriperumbudur Plant</t>
        </is>
      </c>
      <c r="C27" s="78">
        <f>INDEX('Production Analysis'!$E$9:$E$14,MATCH($B27,'Production Analysis'!$D$9:$D$14,0))</f>
        <v>151927</v>
      </c>
      <c r="D27" s="78">
        <f>INDEX('Sales Analysis'!$E$9:$E$14,MATCH($B27,'Sales Analysis'!$D$9:$D$14,0))</f>
        <v>117214</v>
      </c>
      <c r="E27" s="78">
        <f>INDEX('Revenue Analysis'!$D$26:$D$31,MATCH($B27,'Revenue Analysis'!$C$26:$C$31,0))</f>
        <v>83144</v>
      </c>
      <c r="F27" s="78">
        <f>INDEX('Inventory Analysis'!$E$27:$E$32,MATCH($B27,'Inventory Analysis'!$D$27:$D$32,0))</f>
        <v>34713</v>
      </c>
    </row>
    <row r="28">
      <c r="B28" s="79" t="inlineStr">
        <is>
          <t>Unknown Plant</t>
        </is>
      </c>
      <c r="C28" s="80">
        <f>INDEX('Production Analysis'!$E$9:$E$14,MATCH($B28,'Production Analysis'!$D$9:$D$14,0))</f>
        <v>14569</v>
      </c>
      <c r="D28" s="80">
        <f>INDEX('Sales Analysis'!$E$9:$E$14,MATCH($B28,'Sales Analysis'!$D$9:$D$14,0))</f>
        <v>12122</v>
      </c>
      <c r="E28" s="80">
        <f>INDEX('Revenue Analysis'!$D$26:$D$31,MATCH($B28,'Revenue Analysis'!$C$26:$C$31,0))</f>
        <v>5582</v>
      </c>
      <c r="F28" s="80">
        <f>INDEX('Inventory Analysis'!$E$27:$E$32,MATCH($B28,'Inventory Analysis'!$D$27:$D$32,0))</f>
        <v>2447</v>
      </c>
    </row>
    <row r="29">
      <c r="B29" s="81" t="inlineStr">
        <is>
          <t>Total</t>
        </is>
      </c>
      <c r="C29" s="82">
        <f>SUM(C23:C28)</f>
        <v>812043</v>
      </c>
      <c r="D29" s="82">
        <f>SUM(D23:D28)</f>
        <v>641347</v>
      </c>
      <c r="E29" s="82">
        <f>SUM(E23:E28)</f>
        <v>431485</v>
      </c>
      <c r="F29" s="82">
        <f>SUM(F23:F28)</f>
        <v>170696</v>
      </c>
    </row>
    <row r="31">
      <c r="B31" s="75" t="inlineStr">
        <is>
          <t>Model Performance (sorted by Sales, desc.)</t>
        </is>
      </c>
    </row>
    <row r="32">
      <c r="B32" s="76" t="inlineStr">
        <is>
          <t>Model</t>
        </is>
      </c>
      <c r="C32" s="76" t="inlineStr">
        <is>
          <t>Production</t>
        </is>
      </c>
      <c r="D32" s="76" t="inlineStr">
        <is>
          <t>Sales</t>
        </is>
      </c>
      <c r="E32" s="76" t="inlineStr">
        <is>
          <t>Revenue (Lakhs)</t>
        </is>
      </c>
      <c r="F32" s="76" t="inlineStr">
        <is>
          <t>Unsold Qty</t>
        </is>
      </c>
    </row>
    <row r="33">
      <c r="B33" s="77" t="inlineStr">
        <is>
          <t>Vivo Y300</t>
        </is>
      </c>
      <c r="C33" s="78">
        <f>INDEX('Production Analysis'!$H$9:$H$23,MATCH($B33,'Production Analysis'!$G$9:$G$23,0))</f>
        <v>78592</v>
      </c>
      <c r="D33" s="78">
        <f>INDEX('Sales Analysis'!$H$6:$H$20,MATCH($B33,'Sales Analysis'!$G$6:$G$20,0))</f>
        <v>62246</v>
      </c>
      <c r="E33" s="78">
        <f>INDEX('Revenue Analysis'!$D$39:$D$53,MATCH($B33,'Revenue Analysis'!$C$39:$C$53,0))</f>
        <v>40249</v>
      </c>
      <c r="F33" s="78">
        <f>INDEX('Inventory Analysis'!$E$42:$E$56,MATCH($B33,'Inventory Analysis'!$D$42:$D$56,0))</f>
        <v>16346</v>
      </c>
    </row>
    <row r="34">
      <c r="B34" s="79" t="inlineStr">
        <is>
          <t>iPhone 16</t>
        </is>
      </c>
      <c r="C34" s="80">
        <f>INDEX('Production Analysis'!$H$9:$H$23,MATCH($B34,'Production Analysis'!$G$9:$G$23,0))</f>
        <v>76202</v>
      </c>
      <c r="D34" s="80">
        <f>INDEX('Sales Analysis'!$H$6:$H$20,MATCH($B34,'Sales Analysis'!$G$6:$G$20,0))</f>
        <v>61231</v>
      </c>
      <c r="E34" s="80">
        <f>INDEX('Revenue Analysis'!$D$39:$D$53,MATCH($B34,'Revenue Analysis'!$C$39:$C$53,0))</f>
        <v>42298</v>
      </c>
      <c r="F34" s="80">
        <f>INDEX('Inventory Analysis'!$E$42:$E$56,MATCH($B34,'Inventory Analysis'!$D$42:$D$56,0))</f>
        <v>14971</v>
      </c>
    </row>
    <row r="35">
      <c r="B35" s="77" t="inlineStr">
        <is>
          <t>Galaxy A55</t>
        </is>
      </c>
      <c r="C35" s="78">
        <f>INDEX('Production Analysis'!$H$9:$H$23,MATCH($B35,'Production Analysis'!$G$9:$G$23,0))</f>
        <v>70263</v>
      </c>
      <c r="D35" s="78">
        <f>INDEX('Sales Analysis'!$H$6:$H$20,MATCH($B35,'Sales Analysis'!$G$6:$G$20,0))</f>
        <v>56200</v>
      </c>
      <c r="E35" s="78">
        <f>INDEX('Revenue Analysis'!$D$39:$D$53,MATCH($B35,'Revenue Analysis'!$C$39:$C$53,0))</f>
        <v>39701</v>
      </c>
      <c r="F35" s="78">
        <f>INDEX('Inventory Analysis'!$E$42:$E$56,MATCH($B35,'Inventory Analysis'!$D$42:$D$56,0))</f>
        <v>14063</v>
      </c>
    </row>
    <row r="36">
      <c r="B36" s="79" t="inlineStr">
        <is>
          <t>OnePlus 13R</t>
        </is>
      </c>
      <c r="C36" s="80">
        <f>INDEX('Production Analysis'!$H$9:$H$23,MATCH($B36,'Production Analysis'!$G$9:$G$23,0))</f>
        <v>65435</v>
      </c>
      <c r="D36" s="80">
        <f>INDEX('Sales Analysis'!$H$6:$H$20,MATCH($B36,'Sales Analysis'!$G$6:$G$20,0))</f>
        <v>51926</v>
      </c>
      <c r="E36" s="80">
        <f>INDEX('Revenue Analysis'!$D$39:$D$53,MATCH($B36,'Revenue Analysis'!$C$39:$C$53,0))</f>
        <v>31483</v>
      </c>
      <c r="F36" s="80">
        <f>INDEX('Inventory Analysis'!$E$42:$E$56,MATCH($B36,'Inventory Analysis'!$D$42:$D$56,0))</f>
        <v>13509</v>
      </c>
    </row>
    <row r="37">
      <c r="B37" s="77" t="inlineStr">
        <is>
          <t>Xiaomi 14</t>
        </is>
      </c>
      <c r="C37" s="78">
        <f>INDEX('Production Analysis'!$H$9:$H$23,MATCH($B37,'Production Analysis'!$G$9:$G$23,0))</f>
        <v>59936</v>
      </c>
      <c r="D37" s="78">
        <f>INDEX('Sales Analysis'!$H$6:$H$20,MATCH($B37,'Sales Analysis'!$G$6:$G$20,0))</f>
        <v>48709</v>
      </c>
      <c r="E37" s="78">
        <f>INDEX('Revenue Analysis'!$D$39:$D$53,MATCH($B37,'Revenue Analysis'!$C$39:$C$53,0))</f>
        <v>32107</v>
      </c>
      <c r="F37" s="78">
        <f>INDEX('Inventory Analysis'!$E$42:$E$56,MATCH($B37,'Inventory Analysis'!$D$42:$D$56,0))</f>
        <v>11227</v>
      </c>
    </row>
    <row r="38">
      <c r="B38" s="79" t="inlineStr">
        <is>
          <t>OnePlus 13</t>
        </is>
      </c>
      <c r="C38" s="80">
        <f>INDEX('Production Analysis'!$H$9:$H$23,MATCH($B38,'Production Analysis'!$G$9:$G$23,0))</f>
        <v>59469</v>
      </c>
      <c r="D38" s="80">
        <f>INDEX('Sales Analysis'!$H$6:$H$20,MATCH($B38,'Sales Analysis'!$G$6:$G$20,0))</f>
        <v>45183</v>
      </c>
      <c r="E38" s="80">
        <f>INDEX('Revenue Analysis'!$D$39:$D$53,MATCH($B38,'Revenue Analysis'!$C$39:$C$53,0))</f>
        <v>26450</v>
      </c>
      <c r="F38" s="80">
        <f>INDEX('Inventory Analysis'!$E$42:$E$56,MATCH($B38,'Inventory Analysis'!$D$42:$D$56,0))</f>
        <v>14286</v>
      </c>
    </row>
    <row r="39">
      <c r="B39" s="77" t="inlineStr">
        <is>
          <t>Galaxy M35</t>
        </is>
      </c>
      <c r="C39" s="78">
        <f>INDEX('Production Analysis'!$H$9:$H$23,MATCH($B39,'Production Analysis'!$G$9:$G$23,0))</f>
        <v>56906</v>
      </c>
      <c r="D39" s="78">
        <f>INDEX('Sales Analysis'!$H$6:$H$20,MATCH($B39,'Sales Analysis'!$G$6:$G$20,0))</f>
        <v>43792</v>
      </c>
      <c r="E39" s="78">
        <f>INDEX('Revenue Analysis'!$D$39:$D$53,MATCH($B39,'Revenue Analysis'!$C$39:$C$53,0))</f>
        <v>25165</v>
      </c>
      <c r="F39" s="78">
        <f>INDEX('Inventory Analysis'!$E$42:$E$56,MATCH($B39,'Inventory Analysis'!$D$42:$D$56,0))</f>
        <v>13114</v>
      </c>
    </row>
    <row r="40">
      <c r="B40" s="79" t="inlineStr">
        <is>
          <t>Vivo T3</t>
        </is>
      </c>
      <c r="C40" s="80">
        <f>INDEX('Production Analysis'!$H$9:$H$23,MATCH($B40,'Production Analysis'!$G$9:$G$23,0))</f>
        <v>49157</v>
      </c>
      <c r="D40" s="80">
        <f>INDEX('Sales Analysis'!$H$6:$H$20,MATCH($B40,'Sales Analysis'!$G$6:$G$20,0))</f>
        <v>37042</v>
      </c>
      <c r="E40" s="80">
        <f>INDEX('Revenue Analysis'!$D$39:$D$53,MATCH($B40,'Revenue Analysis'!$C$39:$C$53,0))</f>
        <v>30952</v>
      </c>
      <c r="F40" s="80">
        <f>INDEX('Inventory Analysis'!$E$42:$E$56,MATCH($B40,'Inventory Analysis'!$D$42:$D$56,0))</f>
        <v>12115</v>
      </c>
    </row>
    <row r="41">
      <c r="B41" s="77" t="inlineStr">
        <is>
          <t>Redmi Note 14</t>
        </is>
      </c>
      <c r="C41" s="78">
        <f>INDEX('Production Analysis'!$H$9:$H$23,MATCH($B41,'Production Analysis'!$G$9:$G$23,0))</f>
        <v>45410</v>
      </c>
      <c r="D41" s="78">
        <f>INDEX('Sales Analysis'!$H$6:$H$20,MATCH($B41,'Sales Analysis'!$G$6:$G$20,0))</f>
        <v>36098</v>
      </c>
      <c r="E41" s="78">
        <f>INDEX('Revenue Analysis'!$D$39:$D$53,MATCH($B41,'Revenue Analysis'!$C$39:$C$53,0))</f>
        <v>24939</v>
      </c>
      <c r="F41" s="78">
        <f>INDEX('Inventory Analysis'!$E$42:$E$56,MATCH($B41,'Inventory Analysis'!$D$42:$D$56,0))</f>
        <v>9312</v>
      </c>
    </row>
    <row r="42">
      <c r="B42" s="79" t="inlineStr">
        <is>
          <t>iPhone 16 Plus</t>
        </is>
      </c>
      <c r="C42" s="80">
        <f>INDEX('Production Analysis'!$H$9:$H$23,MATCH($B42,'Production Analysis'!$G$9:$G$23,0))</f>
        <v>42835</v>
      </c>
      <c r="D42" s="80">
        <f>INDEX('Sales Analysis'!$H$6:$H$20,MATCH($B42,'Sales Analysis'!$G$6:$G$20,0))</f>
        <v>35130</v>
      </c>
      <c r="E42" s="80">
        <f>INDEX('Revenue Analysis'!$D$39:$D$53,MATCH($B42,'Revenue Analysis'!$C$39:$C$53,0))</f>
        <v>32636</v>
      </c>
      <c r="F42" s="80">
        <f>INDEX('Inventory Analysis'!$E$42:$E$56,MATCH($B42,'Inventory Analysis'!$D$42:$D$56,0))</f>
        <v>7705</v>
      </c>
    </row>
    <row r="43">
      <c r="B43" s="77" t="inlineStr">
        <is>
          <t>Vivo V40</t>
        </is>
      </c>
      <c r="C43" s="78">
        <f>INDEX('Production Analysis'!$H$9:$H$23,MATCH($B43,'Production Analysis'!$G$9:$G$23,0))</f>
        <v>43464</v>
      </c>
      <c r="D43" s="78">
        <f>INDEX('Sales Analysis'!$H$6:$H$20,MATCH($B43,'Sales Analysis'!$G$6:$G$20,0))</f>
        <v>35029</v>
      </c>
      <c r="E43" s="78">
        <f>INDEX('Revenue Analysis'!$D$39:$D$53,MATCH($B43,'Revenue Analysis'!$C$39:$C$53,0))</f>
        <v>20070</v>
      </c>
      <c r="F43" s="78">
        <f>INDEX('Inventory Analysis'!$E$42:$E$56,MATCH($B43,'Inventory Analysis'!$D$42:$D$56,0))</f>
        <v>8435</v>
      </c>
    </row>
    <row r="44">
      <c r="B44" s="79" t="inlineStr">
        <is>
          <t>iPhone 15</t>
        </is>
      </c>
      <c r="C44" s="80">
        <f>INDEX('Production Analysis'!$H$9:$H$23,MATCH($B44,'Production Analysis'!$G$9:$G$23,0))</f>
        <v>43220</v>
      </c>
      <c r="D44" s="80">
        <f>INDEX('Sales Analysis'!$H$6:$H$20,MATCH($B44,'Sales Analysis'!$G$6:$G$20,0))</f>
        <v>34172</v>
      </c>
      <c r="E44" s="80">
        <f>INDEX('Revenue Analysis'!$D$39:$D$53,MATCH($B44,'Revenue Analysis'!$C$39:$C$53,0))</f>
        <v>22518</v>
      </c>
      <c r="F44" s="80">
        <f>INDEX('Inventory Analysis'!$E$42:$E$56,MATCH($B44,'Inventory Analysis'!$D$42:$D$56,0))</f>
        <v>9048</v>
      </c>
    </row>
    <row r="45">
      <c r="B45" s="77" t="inlineStr">
        <is>
          <t>OnePlus Nord 5</t>
        </is>
      </c>
      <c r="C45" s="78">
        <f>INDEX('Production Analysis'!$H$9:$H$23,MATCH($B45,'Production Analysis'!$G$9:$G$23,0))</f>
        <v>42336</v>
      </c>
      <c r="D45" s="78">
        <f>INDEX('Sales Analysis'!$H$6:$H$20,MATCH($B45,'Sales Analysis'!$G$6:$G$20,0))</f>
        <v>33281</v>
      </c>
      <c r="E45" s="78">
        <f>INDEX('Revenue Analysis'!$D$39:$D$53,MATCH($B45,'Revenue Analysis'!$C$39:$C$53,0))</f>
        <v>23863</v>
      </c>
      <c r="F45" s="78">
        <f>INDEX('Inventory Analysis'!$E$42:$E$56,MATCH($B45,'Inventory Analysis'!$D$42:$D$56,0))</f>
        <v>9055</v>
      </c>
    </row>
    <row r="46">
      <c r="B46" s="79" t="inlineStr">
        <is>
          <t>Redmi 14C</t>
        </is>
      </c>
      <c r="C46" s="80">
        <f>INDEX('Production Analysis'!$H$9:$H$23,MATCH($B46,'Production Analysis'!$G$9:$G$23,0))</f>
        <v>38881</v>
      </c>
      <c r="D46" s="80">
        <f>INDEX('Sales Analysis'!$H$6:$H$20,MATCH($B46,'Sales Analysis'!$G$6:$G$20,0))</f>
        <v>30918</v>
      </c>
      <c r="E46" s="80">
        <f>INDEX('Revenue Analysis'!$D$39:$D$53,MATCH($B46,'Revenue Analysis'!$C$39:$C$53,0))</f>
        <v>18031</v>
      </c>
      <c r="F46" s="80">
        <f>INDEX('Inventory Analysis'!$E$42:$E$56,MATCH($B46,'Inventory Analysis'!$D$42:$D$56,0))</f>
        <v>7963</v>
      </c>
    </row>
    <row r="47">
      <c r="B47" s="77" t="inlineStr">
        <is>
          <t>Galaxy S24</t>
        </is>
      </c>
      <c r="C47" s="78">
        <f>INDEX('Production Analysis'!$H$9:$H$23,MATCH($B47,'Production Analysis'!$G$9:$G$23,0))</f>
        <v>39937</v>
      </c>
      <c r="D47" s="78">
        <f>INDEX('Sales Analysis'!$H$6:$H$20,MATCH($B47,'Sales Analysis'!$G$6:$G$20,0))</f>
        <v>30390</v>
      </c>
      <c r="E47" s="78">
        <f>INDEX('Revenue Analysis'!$D$39:$D$53,MATCH($B47,'Revenue Analysis'!$C$39:$C$53,0))</f>
        <v>21023</v>
      </c>
      <c r="F47" s="78">
        <f>INDEX('Inventory Analysis'!$E$42:$E$56,MATCH($B47,'Inventory Analysis'!$D$42:$D$56,0))</f>
        <v>9547</v>
      </c>
    </row>
    <row r="48">
      <c r="B48" s="81" t="inlineStr">
        <is>
          <t>Total</t>
        </is>
      </c>
      <c r="C48" s="82">
        <f>SUM(C33:C47)</f>
        <v>812043</v>
      </c>
      <c r="D48" s="82">
        <f>SUM(D33:D47)</f>
        <v>641347</v>
      </c>
      <c r="E48" s="82">
        <f>SUM(E33:E47)</f>
        <v>431485</v>
      </c>
      <c r="F48" s="82">
        <f>SUM(F33:F47)</f>
        <v>170696</v>
      </c>
    </row>
    <row r="50">
      <c r="B50" s="75" t="inlineStr">
        <is>
          <t>Monthly Trend</t>
        </is>
      </c>
    </row>
    <row r="51">
      <c r="B51" s="76" t="inlineStr">
        <is>
          <t>Month</t>
        </is>
      </c>
      <c r="C51" s="76" t="inlineStr">
        <is>
          <t>Production</t>
        </is>
      </c>
      <c r="D51" s="76" t="inlineStr">
        <is>
          <t>Sales</t>
        </is>
      </c>
      <c r="E51" s="76" t="inlineStr">
        <is>
          <t>Revenue</t>
        </is>
      </c>
      <c r="F51" s="76" t="inlineStr"/>
    </row>
    <row r="52">
      <c r="B52" s="77" t="inlineStr">
        <is>
          <t>January</t>
        </is>
      </c>
      <c r="C52" s="78">
        <f>INDEX('Monthly Trend Analysis'!$E$11:$E$22,MATCH($B52,'Monthly Trend Analysis'!$D$11:$D$22,0))</f>
        <v>61476</v>
      </c>
      <c r="D52" s="78">
        <f>INDEX('Monthly Trend Analysis'!$E$31:$E$42,MATCH($B52,'Monthly Trend Analysis'!$D$31:$D$42,0))</f>
        <v>49781</v>
      </c>
      <c r="E52" s="78">
        <f>INDEX('Monthly Trend Analysis'!$E$51:$E$62,MATCH($B52,'Monthly Trend Analysis'!$D$51:$D$62,0))</f>
        <v>25029</v>
      </c>
    </row>
    <row r="53">
      <c r="B53" s="79" t="inlineStr">
        <is>
          <t>February</t>
        </is>
      </c>
      <c r="C53" s="80">
        <f>INDEX('Monthly Trend Analysis'!$E$11:$E$22,MATCH($B53,'Monthly Trend Analysis'!$D$11:$D$22,0))</f>
        <v>71432</v>
      </c>
      <c r="D53" s="80">
        <f>INDEX('Monthly Trend Analysis'!$E$31:$E$42,MATCH($B53,'Monthly Trend Analysis'!$D$31:$D$42,0))</f>
        <v>57900</v>
      </c>
      <c r="E53" s="80">
        <f>INDEX('Monthly Trend Analysis'!$E$51:$E$62,MATCH($B53,'Monthly Trend Analysis'!$D$51:$D$62,0))</f>
        <v>41044</v>
      </c>
    </row>
    <row r="54">
      <c r="B54" s="77" t="inlineStr">
        <is>
          <t>March</t>
        </is>
      </c>
      <c r="C54" s="78">
        <f>INDEX('Monthly Trend Analysis'!$E$11:$E$22,MATCH($B54,'Monthly Trend Analysis'!$D$11:$D$22,0))</f>
        <v>50498</v>
      </c>
      <c r="D54" s="78">
        <f>INDEX('Monthly Trend Analysis'!$E$31:$E$42,MATCH($B54,'Monthly Trend Analysis'!$D$31:$D$42,0))</f>
        <v>39443</v>
      </c>
      <c r="E54" s="78">
        <f>INDEX('Monthly Trend Analysis'!$E$51:$E$62,MATCH($B54,'Monthly Trend Analysis'!$D$51:$D$62,0))</f>
        <v>28278</v>
      </c>
    </row>
    <row r="55">
      <c r="B55" s="79" t="inlineStr">
        <is>
          <t>April</t>
        </is>
      </c>
      <c r="C55" s="80">
        <f>INDEX('Monthly Trend Analysis'!$E$11:$E$22,MATCH($B55,'Monthly Trend Analysis'!$D$11:$D$22,0))</f>
        <v>56831</v>
      </c>
      <c r="D55" s="80">
        <f>INDEX('Monthly Trend Analysis'!$E$31:$E$42,MATCH($B55,'Monthly Trend Analysis'!$D$31:$D$42,0))</f>
        <v>45418</v>
      </c>
      <c r="E55" s="80">
        <f>INDEX('Monthly Trend Analysis'!$E$51:$E$62,MATCH($B55,'Monthly Trend Analysis'!$D$51:$D$62,0))</f>
        <v>29479</v>
      </c>
    </row>
    <row r="56">
      <c r="B56" s="77" t="inlineStr">
        <is>
          <t>May</t>
        </is>
      </c>
      <c r="C56" s="78">
        <f>INDEX('Monthly Trend Analysis'!$E$11:$E$22,MATCH($B56,'Monthly Trend Analysis'!$D$11:$D$22,0))</f>
        <v>79080</v>
      </c>
      <c r="D56" s="78">
        <f>INDEX('Monthly Trend Analysis'!$E$31:$E$42,MATCH($B56,'Monthly Trend Analysis'!$D$31:$D$42,0))</f>
        <v>62241</v>
      </c>
      <c r="E56" s="78">
        <f>INDEX('Monthly Trend Analysis'!$E$51:$E$62,MATCH($B56,'Monthly Trend Analysis'!$D$51:$D$62,0))</f>
        <v>34016</v>
      </c>
    </row>
    <row r="57">
      <c r="B57" s="79" t="inlineStr">
        <is>
          <t>June</t>
        </is>
      </c>
      <c r="C57" s="80">
        <f>INDEX('Monthly Trend Analysis'!$E$11:$E$22,MATCH($B57,'Monthly Trend Analysis'!$D$11:$D$22,0))</f>
        <v>81788</v>
      </c>
      <c r="D57" s="80">
        <f>INDEX('Monthly Trend Analysis'!$E$31:$E$42,MATCH($B57,'Monthly Trend Analysis'!$D$31:$D$42,0))</f>
        <v>62355</v>
      </c>
      <c r="E57" s="80">
        <f>INDEX('Monthly Trend Analysis'!$E$51:$E$62,MATCH($B57,'Monthly Trend Analysis'!$D$51:$D$62,0))</f>
        <v>42506</v>
      </c>
    </row>
    <row r="58">
      <c r="B58" s="77" t="inlineStr">
        <is>
          <t>July</t>
        </is>
      </c>
      <c r="C58" s="78">
        <f>INDEX('Monthly Trend Analysis'!$E$11:$E$22,MATCH($B58,'Monthly Trend Analysis'!$D$11:$D$22,0))</f>
        <v>60864</v>
      </c>
      <c r="D58" s="78">
        <f>INDEX('Monthly Trend Analysis'!$E$31:$E$42,MATCH($B58,'Monthly Trend Analysis'!$D$31:$D$42,0))</f>
        <v>45464</v>
      </c>
      <c r="E58" s="78">
        <f>INDEX('Monthly Trend Analysis'!$E$51:$E$62,MATCH($B58,'Monthly Trend Analysis'!$D$51:$D$62,0))</f>
        <v>32163</v>
      </c>
    </row>
    <row r="59">
      <c r="B59" s="79" t="inlineStr">
        <is>
          <t>August</t>
        </is>
      </c>
      <c r="C59" s="80">
        <f>INDEX('Monthly Trend Analysis'!$E$11:$E$22,MATCH($B59,'Monthly Trend Analysis'!$D$11:$D$22,0))</f>
        <v>85251</v>
      </c>
      <c r="D59" s="80">
        <f>INDEX('Monthly Trend Analysis'!$E$31:$E$42,MATCH($B59,'Monthly Trend Analysis'!$D$31:$D$42,0))</f>
        <v>68283</v>
      </c>
      <c r="E59" s="80">
        <f>INDEX('Monthly Trend Analysis'!$E$51:$E$62,MATCH($B59,'Monthly Trend Analysis'!$D$51:$D$62,0))</f>
        <v>49330</v>
      </c>
    </row>
    <row r="60">
      <c r="B60" s="77" t="inlineStr">
        <is>
          <t>September</t>
        </is>
      </c>
      <c r="C60" s="78">
        <f>INDEX('Monthly Trend Analysis'!$E$11:$E$22,MATCH($B60,'Monthly Trend Analysis'!$D$11:$D$22,0))</f>
        <v>44584</v>
      </c>
      <c r="D60" s="78">
        <f>INDEX('Monthly Trend Analysis'!$E$31:$E$42,MATCH($B60,'Monthly Trend Analysis'!$D$31:$D$42,0))</f>
        <v>34925</v>
      </c>
      <c r="E60" s="78">
        <f>INDEX('Monthly Trend Analysis'!$E$51:$E$62,MATCH($B60,'Monthly Trend Analysis'!$D$51:$D$62,0))</f>
        <v>24997</v>
      </c>
    </row>
    <row r="61">
      <c r="B61" s="79" t="inlineStr">
        <is>
          <t>October</t>
        </is>
      </c>
      <c r="C61" s="80">
        <f>INDEX('Monthly Trend Analysis'!$E$11:$E$22,MATCH($B61,'Monthly Trend Analysis'!$D$11:$D$22,0))</f>
        <v>75863</v>
      </c>
      <c r="D61" s="80">
        <f>INDEX('Monthly Trend Analysis'!$E$31:$E$42,MATCH($B61,'Monthly Trend Analysis'!$D$31:$D$42,0))</f>
        <v>60062</v>
      </c>
      <c r="E61" s="80">
        <f>INDEX('Monthly Trend Analysis'!$E$51:$E$62,MATCH($B61,'Monthly Trend Analysis'!$D$51:$D$62,0))</f>
        <v>45371</v>
      </c>
    </row>
    <row r="62">
      <c r="B62" s="77" t="inlineStr">
        <is>
          <t>November</t>
        </is>
      </c>
      <c r="C62" s="78">
        <f>INDEX('Monthly Trend Analysis'!$E$11:$E$22,MATCH($B62,'Monthly Trend Analysis'!$D$11:$D$22,0))</f>
        <v>65195</v>
      </c>
      <c r="D62" s="78">
        <f>INDEX('Monthly Trend Analysis'!$E$31:$E$42,MATCH($B62,'Monthly Trend Analysis'!$D$31:$D$42,0))</f>
        <v>53895</v>
      </c>
      <c r="E62" s="78">
        <f>INDEX('Monthly Trend Analysis'!$E$51:$E$62,MATCH($B62,'Monthly Trend Analysis'!$D$51:$D$62,0))</f>
        <v>36336</v>
      </c>
    </row>
    <row r="63">
      <c r="B63" s="79" t="inlineStr">
        <is>
          <t>December</t>
        </is>
      </c>
      <c r="C63" s="80">
        <f>INDEX('Monthly Trend Analysis'!$E$11:$E$22,MATCH($B63,'Monthly Trend Analysis'!$D$11:$D$22,0))</f>
        <v>79181</v>
      </c>
      <c r="D63" s="80">
        <f>INDEX('Monthly Trend Analysis'!$E$31:$E$42,MATCH($B63,'Monthly Trend Analysis'!$D$31:$D$42,0))</f>
        <v>61580</v>
      </c>
      <c r="E63" s="80">
        <f>INDEX('Monthly Trend Analysis'!$E$51:$E$62,MATCH($B63,'Monthly Trend Analysis'!$D$51:$D$62,0))</f>
        <v>42936</v>
      </c>
    </row>
    <row r="64">
      <c r="B64" s="83" t="inlineStr">
        <is>
          <t>Note: Revenue is labeled "Crores" in the source Monthly Trend Analysis sheet vs. "Lakhs" on other sheets — shown here exactly as reported.</t>
        </is>
      </c>
    </row>
    <row r="67">
      <c r="B67" t="inlineStr">
        <is>
          <t>Status</t>
        </is>
      </c>
      <c r="C67" s="84" t="inlineStr">
        <is>
          <t>Quantity</t>
        </is>
      </c>
    </row>
    <row r="68">
      <c r="B68" t="inlineStr">
        <is>
          <t>Sold</t>
        </is>
      </c>
      <c r="C68" s="84">
        <f>'Inventory Analysis'!E3</f>
        <v>641347</v>
      </c>
    </row>
    <row r="69">
      <c r="B69" t="inlineStr">
        <is>
          <t>Unsold</t>
        </is>
      </c>
      <c r="C69" s="84">
        <f>'Inventory Analysis'!I3</f>
        <v>170696</v>
      </c>
    </row>
    <row r="72">
      <c r="H72" s="75" t="inlineStr">
        <is>
          <t>Key Insights (from analysis sheets)</t>
        </is>
      </c>
    </row>
    <row r="73" ht="16" customHeight="1" s="18">
      <c r="H73" s="85" t="str">
        <f>'Production Analysis'!D36</f>
        <v>* Vivo has the highest production volume.</v>
      </c>
    </row>
    <row r="74" ht="16" customHeight="1" s="18">
      <c r="H74" s="86" t="str">
        <f>'Production Analysis'!D37</f>
        <v>* Bengaluru Plant contributes the highest production.</v>
      </c>
    </row>
    <row r="75" ht="16" customHeight="1" s="18">
      <c r="H75" s="85" t="str">
        <f>'Production Analysis'!D38</f>
        <v>* Vivo Y300 is the most produced model.</v>
      </c>
    </row>
    <row r="76" ht="16" customHeight="1" s="18">
      <c r="H76" s="86" t="str">
        <f>'Sales Analysis'!D39</f>
        <v>* Vivo generated the highest sales volume.</v>
      </c>
    </row>
    <row r="77" ht="16" customHeight="1" s="18">
      <c r="H77" s="85" t="str">
        <f>'Sales Analysis'!D40</f>
        <v>* Vivo Y300 is the best-selling model, indicating high customer demand.</v>
      </c>
    </row>
    <row r="78" ht="16" customHeight="1" s="18">
      <c r="H78" s="86" t="str">
        <f>'Revenue Analysis'!E58</f>
        <v>* Apple is the highest revenue-generating brand with 97,452 Lakhs.</v>
      </c>
    </row>
    <row r="79" ht="16" customHeight="1" s="18">
      <c r="H79" s="85" t="str">
        <f>'Revenue Analysis'!E59</f>
        <v>* Bengaluru Plant generated the highest revenue among all manufacturing plants.</v>
      </c>
    </row>
    <row r="80" ht="16" customHeight="1" s="18">
      <c r="H80" s="86" t="str">
        <f>'Revenue Analysis'!E60</f>
        <v>* iPhone 16 is the highest revenue-generating smartphone model.</v>
      </c>
    </row>
    <row r="81" ht="16" customHeight="1" s="18">
      <c r="H81" s="85" t="str">
        <f>'Revenue Analysis'!E61</f>
        <v>* Premium smartphones contribute significantly to overall business revenue despite higher prices.</v>
      </c>
    </row>
    <row r="82" ht="16" customHeight="1" s="18">
      <c r="H82" s="86" t="str">
        <f>'Inventory Analysis'!E67</f>
        <v>* Vivo recorded the highest unsold inventory (36,896 units).</v>
      </c>
    </row>
    <row r="83" ht="16" customHeight="1" s="18">
      <c r="H83" s="85" t="str">
        <f>'Inventory Analysis'!E68</f>
        <v>* Noida Plant has the highest remaining stock (37,113 units).</v>
      </c>
    </row>
    <row r="84" ht="16" customHeight="1" s="18">
      <c r="H84" s="86" t="str">
        <f>'Inventory Analysis'!E69</f>
        <v>* Vivo Y300 is the model with the highest unsold quantity (16,346 units).</v>
      </c>
    </row>
    <row r="85" ht="16" customHeight="1" s="18">
      <c r="H85" s="85" t="str">
        <f>'Inventory Analysis'!E70</f>
        <v>* Better demand forecasting can help reduce excess inventory and improve inventory utilization.</v>
      </c>
    </row>
    <row r="86" ht="16" customHeight="1" s="18">
      <c r="H86" s="86" t="str">
        <f>'Monthly Trend Analysis'!F68</f>
        <v>* August recorded the highest production, sales, and revenue.</v>
      </c>
    </row>
    <row r="87" ht="16" customHeight="1" s="18">
      <c r="H87" s="85" t="str">
        <f>'Monthly Trend Analysis'!F69</f>
        <v>* September showed the lowest business performance across all metrics.</v>
      </c>
    </row>
    <row r="88" ht="16" customHeight="1" s="18">
      <c r="H88" s="86" t="str">
        <f>'Monthly Trend Analysis'!F70</f>
        <v>* Production and sales trends are closely aligned throughout the year.</v>
      </c>
    </row>
    <row r="89" ht="16" customHeight="1" s="18">
      <c r="H89" s="85" t="str">
        <f>'Monthly Trend Analysis'!F71</f>
        <v>* The second half of the year contributed more strongly to overall business growth.</v>
      </c>
    </row>
    <row r="91">
      <c r="B91" s="87" t="inlineStr">
        <is>
          <t>Source: Raw Data → Cleaned Data → Production / Sales / Revenue / Inventory / Monthly Trend Analysis sheets. All figures on this dashboard are live formulas referencing those sheets.</t>
        </is>
      </c>
    </row>
  </sheetData>
  <mergeCells count="52">
    <mergeCell ref="H72:Q72"/>
    <mergeCell ref="H84:Q84"/>
    <mergeCell ref="B2:P2"/>
    <mergeCell ref="D10:E10"/>
    <mergeCell ref="J5:K5"/>
    <mergeCell ref="F10:G10"/>
    <mergeCell ref="H75:Q75"/>
    <mergeCell ref="H10:I10"/>
    <mergeCell ref="H80:Q80"/>
    <mergeCell ref="J10:K10"/>
    <mergeCell ref="H87:Q87"/>
    <mergeCell ref="B6:C7"/>
    <mergeCell ref="B31:F31"/>
    <mergeCell ref="H86:Q86"/>
    <mergeCell ref="H77:Q77"/>
    <mergeCell ref="H9:I9"/>
    <mergeCell ref="J9:K9"/>
    <mergeCell ref="B21:F21"/>
    <mergeCell ref="H76:Q76"/>
    <mergeCell ref="B12:F12"/>
    <mergeCell ref="L6:M7"/>
    <mergeCell ref="F5:G5"/>
    <mergeCell ref="H82:Q82"/>
    <mergeCell ref="B91:Q91"/>
    <mergeCell ref="L5:M5"/>
    <mergeCell ref="H78:Q78"/>
    <mergeCell ref="L10:M10"/>
    <mergeCell ref="B10:C10"/>
    <mergeCell ref="N10:O10"/>
    <mergeCell ref="H74:Q74"/>
    <mergeCell ref="D6:E7"/>
    <mergeCell ref="F6:G7"/>
    <mergeCell ref="H83:Q83"/>
    <mergeCell ref="B9:C9"/>
    <mergeCell ref="D9:E9"/>
    <mergeCell ref="H73:Q73"/>
    <mergeCell ref="F9:G9"/>
    <mergeCell ref="L9:M9"/>
    <mergeCell ref="H89:Q89"/>
    <mergeCell ref="N9:O9"/>
    <mergeCell ref="H6:I7"/>
    <mergeCell ref="B64:F64"/>
    <mergeCell ref="B5:C5"/>
    <mergeCell ref="B3:P3"/>
    <mergeCell ref="J6:K7"/>
    <mergeCell ref="D5:E5"/>
    <mergeCell ref="H79:Q79"/>
    <mergeCell ref="H85:Q85"/>
    <mergeCell ref="H88:Q88"/>
    <mergeCell ref="H5:I5"/>
    <mergeCell ref="B50:F50"/>
    <mergeCell ref="H81:Q8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D3" sqref="D3"/>
    </sheetView>
  </sheetViews>
  <sheetFormatPr baseColWidth="8" defaultRowHeight="15"/>
  <sheetData>
    <row r="1">
      <c r="A1" t="inlineStr">
        <is>
          <t>Serial No</t>
        </is>
      </c>
      <c r="B1" t="inlineStr">
        <is>
          <t>Plant Name</t>
        </is>
      </c>
      <c r="C1" t="inlineStr">
        <is>
          <t>Plant Type</t>
        </is>
      </c>
      <c r="D1" t="inlineStr">
        <is>
          <t>Brand</t>
        </is>
      </c>
      <c r="E1" t="inlineStr">
        <is>
          <t>Product</t>
        </is>
      </c>
      <c r="F1" t="inlineStr">
        <is>
          <t>Model</t>
        </is>
      </c>
      <c r="G1" t="inlineStr">
        <is>
          <t>Production Date</t>
        </is>
      </c>
      <c r="H1" t="inlineStr">
        <is>
          <t>Quantity Produced</t>
        </is>
      </c>
      <c r="I1" t="inlineStr">
        <is>
          <t>Quantity Sold</t>
        </is>
      </c>
      <c r="J1" t="inlineStr">
        <is>
          <t>Unit Price</t>
        </is>
      </c>
      <c r="K1" t="inlineStr">
        <is>
          <t>Shipping Status</t>
        </is>
      </c>
      <c r="L1" t="inlineStr">
        <is>
          <t>Completion Status</t>
        </is>
      </c>
    </row>
    <row r="2">
      <c r="A2" t="n">
        <v>1</v>
      </c>
      <c r="B2" t="inlineStr">
        <is>
          <t>Noida Plant</t>
        </is>
      </c>
      <c r="C2" t="inlineStr">
        <is>
          <t>Packaging</t>
        </is>
      </c>
      <c r="D2" t="inlineStr">
        <is>
          <t>Samsung</t>
        </is>
      </c>
      <c r="E2" t="inlineStr">
        <is>
          <t>Smartphone</t>
        </is>
      </c>
      <c r="F2" t="inlineStr">
        <is>
          <t>Galaxy A55</t>
        </is>
      </c>
      <c r="G2" t="inlineStr">
        <is>
          <t>2025-02-22</t>
        </is>
      </c>
      <c r="H2" t="n">
        <v>4591</v>
      </c>
      <c r="I2" t="n">
        <v>3732</v>
      </c>
      <c r="J2" t="n">
        <v>19523</v>
      </c>
      <c r="K2" t="inlineStr">
        <is>
          <t>Pending</t>
        </is>
      </c>
      <c r="L2" t="inlineStr">
        <is>
          <t>Completed</t>
        </is>
      </c>
    </row>
    <row r="3">
      <c r="A3" t="n">
        <v>2</v>
      </c>
      <c r="B3" t="inlineStr">
        <is>
          <t>Bengaluru Plant</t>
        </is>
      </c>
      <c r="C3" t="inlineStr">
        <is>
          <t>Manufacturing</t>
        </is>
      </c>
      <c r="D3" t="inlineStr">
        <is>
          <t>Samsung</t>
        </is>
      </c>
      <c r="E3" t="inlineStr">
        <is>
          <t>Smartphone</t>
        </is>
      </c>
      <c r="F3" t="inlineStr">
        <is>
          <t>Galaxy M35</t>
        </is>
      </c>
      <c r="G3" t="inlineStr">
        <is>
          <t>2025-10-26</t>
        </is>
      </c>
      <c r="H3" t="n">
        <v>4273</v>
      </c>
      <c r="I3" t="n">
        <v>3023</v>
      </c>
      <c r="J3" t="n">
        <v>84627</v>
      </c>
      <c r="K3" t="inlineStr">
        <is>
          <t>In Transit</t>
        </is>
      </c>
      <c r="L3" t="inlineStr">
        <is>
          <t>In Progress</t>
        </is>
      </c>
    </row>
    <row r="4">
      <c r="A4" t="n">
        <v>3</v>
      </c>
      <c r="B4" t="inlineStr">
        <is>
          <t>Bengaluru Plant</t>
        </is>
      </c>
      <c r="C4" t="inlineStr">
        <is>
          <t>Testing</t>
        </is>
      </c>
      <c r="D4" t="inlineStr">
        <is>
          <t>Samsung</t>
        </is>
      </c>
      <c r="E4" t="inlineStr">
        <is>
          <t>Smartphone</t>
        </is>
      </c>
      <c r="F4" t="inlineStr">
        <is>
          <t>Galaxy M35</t>
        </is>
      </c>
      <c r="G4" t="inlineStr">
        <is>
          <t>2025-08-17</t>
        </is>
      </c>
      <c r="H4" t="n">
        <v>4734</v>
      </c>
      <c r="I4" t="n">
        <v>4061</v>
      </c>
      <c r="J4" t="n">
        <v>45531</v>
      </c>
      <c r="K4" t="inlineStr">
        <is>
          <t>In Transit</t>
        </is>
      </c>
      <c r="L4" t="inlineStr">
        <is>
          <t>Completed</t>
        </is>
      </c>
    </row>
    <row r="5">
      <c r="A5" t="n">
        <v>4</v>
      </c>
      <c r="B5" t="inlineStr">
        <is>
          <t>Noida Plant</t>
        </is>
      </c>
      <c r="C5" t="inlineStr">
        <is>
          <t>Manufacturing</t>
        </is>
      </c>
      <c r="D5" t="inlineStr">
        <is>
          <t>Samsung</t>
        </is>
      </c>
      <c r="E5" t="inlineStr">
        <is>
          <t>Smartphone</t>
        </is>
      </c>
      <c r="F5" t="inlineStr">
        <is>
          <t>Galaxy A55</t>
        </is>
      </c>
      <c r="G5" t="inlineStr">
        <is>
          <t>2025-08-22</t>
        </is>
      </c>
      <c r="H5" t="n">
        <v>2255</v>
      </c>
      <c r="I5" t="n">
        <v>1609</v>
      </c>
      <c r="J5" t="n">
        <v>103791</v>
      </c>
      <c r="K5" t="inlineStr">
        <is>
          <t>Pending</t>
        </is>
      </c>
      <c r="L5" t="inlineStr">
        <is>
          <t>Completed</t>
        </is>
      </c>
    </row>
    <row r="6">
      <c r="A6" t="n">
        <v>5</v>
      </c>
      <c r="B6" t="inlineStr">
        <is>
          <t>Sriperumbudur Plant</t>
        </is>
      </c>
      <c r="C6" t="inlineStr">
        <is>
          <t>Packaging</t>
        </is>
      </c>
      <c r="D6" t="inlineStr">
        <is>
          <t>Samsung</t>
        </is>
      </c>
      <c r="E6" t="inlineStr">
        <is>
          <t>Smartphone</t>
        </is>
      </c>
      <c r="F6" t="inlineStr">
        <is>
          <t>Galaxy S24</t>
        </is>
      </c>
      <c r="G6" t="inlineStr">
        <is>
          <t>2025-03-22</t>
        </is>
      </c>
      <c r="H6" t="n">
        <v>957</v>
      </c>
      <c r="I6" t="n">
        <v>760</v>
      </c>
      <c r="J6" t="n">
        <v>100782</v>
      </c>
      <c r="K6" t="inlineStr">
        <is>
          <t>Pending</t>
        </is>
      </c>
      <c r="L6" t="inlineStr">
        <is>
          <t>In Progress</t>
        </is>
      </c>
    </row>
    <row r="7">
      <c r="A7" t="n">
        <v>6</v>
      </c>
      <c r="B7" t="inlineStr">
        <is>
          <t>Sriperumbudur Plant</t>
        </is>
      </c>
      <c r="C7" t="inlineStr">
        <is>
          <t>Testing</t>
        </is>
      </c>
      <c r="D7" t="inlineStr">
        <is>
          <t>Samsung</t>
        </is>
      </c>
      <c r="E7" t="inlineStr">
        <is>
          <t>Smartphone</t>
        </is>
      </c>
      <c r="F7" t="inlineStr">
        <is>
          <t>Galaxy M35</t>
        </is>
      </c>
      <c r="G7" t="inlineStr">
        <is>
          <t>2025-07-16</t>
        </is>
      </c>
      <c r="H7" t="n">
        <v>4604</v>
      </c>
      <c r="I7" t="n">
        <v>3470</v>
      </c>
      <c r="J7" t="n">
        <v>53473</v>
      </c>
      <c r="K7" t="inlineStr">
        <is>
          <t>Shipped</t>
        </is>
      </c>
      <c r="L7" t="inlineStr">
        <is>
          <t>In Progress</t>
        </is>
      </c>
    </row>
    <row r="8">
      <c r="A8" t="n">
        <v>7</v>
      </c>
      <c r="B8" t="inlineStr">
        <is>
          <t>Bengaluru Plant</t>
        </is>
      </c>
      <c r="C8" t="inlineStr">
        <is>
          <t>Manufacturing</t>
        </is>
      </c>
      <c r="D8" t="inlineStr">
        <is>
          <t>Samsung</t>
        </is>
      </c>
      <c r="E8" t="inlineStr">
        <is>
          <t>Smartphone</t>
        </is>
      </c>
      <c r="F8" t="inlineStr">
        <is>
          <t>Galaxy S24</t>
        </is>
      </c>
      <c r="G8" t="inlineStr">
        <is>
          <t>2025-05-17</t>
        </is>
      </c>
      <c r="H8" t="n">
        <v>2411</v>
      </c>
      <c r="I8" t="n">
        <v>1484</v>
      </c>
      <c r="J8" t="n">
        <v>13866</v>
      </c>
      <c r="K8" t="inlineStr">
        <is>
          <t>Pending</t>
        </is>
      </c>
      <c r="L8" t="inlineStr">
        <is>
          <t>In Progress</t>
        </is>
      </c>
    </row>
    <row r="9">
      <c r="A9" t="n">
        <v>8</v>
      </c>
      <c r="B9" t="inlineStr">
        <is>
          <t>Pune Plant</t>
        </is>
      </c>
      <c r="C9" t="inlineStr">
        <is>
          <t>Packaging</t>
        </is>
      </c>
      <c r="D9" t="inlineStr">
        <is>
          <t>Samsung</t>
        </is>
      </c>
      <c r="E9" t="inlineStr">
        <is>
          <t>Smartphone</t>
        </is>
      </c>
      <c r="F9" t="inlineStr">
        <is>
          <t>Galaxy M35</t>
        </is>
      </c>
      <c r="G9" t="inlineStr">
        <is>
          <t>2025-07-10</t>
        </is>
      </c>
      <c r="H9" t="n">
        <v>536</v>
      </c>
      <c r="I9" t="n">
        <v>337</v>
      </c>
      <c r="J9" t="n">
        <v>82994</v>
      </c>
      <c r="K9" t="inlineStr">
        <is>
          <t>Shipped</t>
        </is>
      </c>
      <c r="L9" t="inlineStr">
        <is>
          <t>In Progress</t>
        </is>
      </c>
    </row>
    <row r="10">
      <c r="A10" t="n">
        <v>9</v>
      </c>
      <c r="B10" t="inlineStr">
        <is>
          <t>Noida Plant</t>
        </is>
      </c>
      <c r="C10" t="inlineStr">
        <is>
          <t>Testing</t>
        </is>
      </c>
      <c r="D10" t="inlineStr">
        <is>
          <t>Samsung</t>
        </is>
      </c>
      <c r="E10" t="inlineStr">
        <is>
          <t>Smartphone</t>
        </is>
      </c>
      <c r="F10" t="inlineStr">
        <is>
          <t>Galaxy A55</t>
        </is>
      </c>
      <c r="G10" t="inlineStr">
        <is>
          <t>2025-01-24</t>
        </is>
      </c>
      <c r="H10" t="n">
        <v>511</v>
      </c>
      <c r="I10" t="n">
        <v>340</v>
      </c>
      <c r="J10" t="n">
        <v>27053</v>
      </c>
      <c r="K10" t="inlineStr">
        <is>
          <t>Shipped</t>
        </is>
      </c>
      <c r="L10" t="inlineStr">
        <is>
          <t>In Progress</t>
        </is>
      </c>
    </row>
    <row r="11">
      <c r="A11" t="n">
        <v>10</v>
      </c>
      <c r="B11" t="inlineStr">
        <is>
          <t>Noida Plant</t>
        </is>
      </c>
      <c r="C11" t="inlineStr">
        <is>
          <t>Testing</t>
        </is>
      </c>
      <c r="D11" t="inlineStr">
        <is>
          <t>Samsung</t>
        </is>
      </c>
      <c r="E11" t="inlineStr">
        <is>
          <t>Smartphone</t>
        </is>
      </c>
      <c r="F11" t="inlineStr">
        <is>
          <t>Galaxy M35</t>
        </is>
      </c>
      <c r="G11" t="inlineStr">
        <is>
          <t>2025-02-28</t>
        </is>
      </c>
      <c r="H11" t="n">
        <v>1567</v>
      </c>
      <c r="I11" t="n">
        <v>1147</v>
      </c>
      <c r="J11" t="n">
        <v>59010</v>
      </c>
      <c r="K11" t="inlineStr">
        <is>
          <t>Pending</t>
        </is>
      </c>
      <c r="L11" t="inlineStr">
        <is>
          <t>Completed</t>
        </is>
      </c>
    </row>
    <row r="12">
      <c r="A12" t="n">
        <v>11</v>
      </c>
      <c r="B12" t="inlineStr">
        <is>
          <t>Pune Plant</t>
        </is>
      </c>
      <c r="C12" t="inlineStr">
        <is>
          <t>Testing</t>
        </is>
      </c>
      <c r="D12" t="inlineStr">
        <is>
          <t>Samsung</t>
        </is>
      </c>
      <c r="E12" t="inlineStr">
        <is>
          <t>Smartphone</t>
        </is>
      </c>
      <c r="F12" t="inlineStr">
        <is>
          <t>Galaxy A55</t>
        </is>
      </c>
      <c r="G12" t="inlineStr">
        <is>
          <t>2025-01-09</t>
        </is>
      </c>
      <c r="H12" t="n">
        <v>2747</v>
      </c>
      <c r="I12" t="n">
        <v>2074</v>
      </c>
      <c r="J12" t="n">
        <v>28486</v>
      </c>
      <c r="K12" t="inlineStr">
        <is>
          <t>In Transit</t>
        </is>
      </c>
      <c r="L12" t="inlineStr">
        <is>
          <t>In Progress</t>
        </is>
      </c>
    </row>
    <row r="13">
      <c r="A13" t="n">
        <v>12</v>
      </c>
      <c r="B13" t="inlineStr">
        <is>
          <t>Noida Plant</t>
        </is>
      </c>
      <c r="C13" t="inlineStr">
        <is>
          <t>Packaging</t>
        </is>
      </c>
      <c r="D13" t="inlineStr">
        <is>
          <t>Samsung</t>
        </is>
      </c>
      <c r="E13" t="inlineStr">
        <is>
          <t>Smartphone</t>
        </is>
      </c>
      <c r="F13" t="inlineStr">
        <is>
          <t>Galaxy A55</t>
        </is>
      </c>
      <c r="G13" t="inlineStr">
        <is>
          <t>2025-06-10</t>
        </is>
      </c>
      <c r="H13" t="n">
        <v>1546</v>
      </c>
      <c r="I13" t="n">
        <v>988</v>
      </c>
      <c r="J13" t="n">
        <v>36513</v>
      </c>
      <c r="K13" t="inlineStr">
        <is>
          <t>Shipped</t>
        </is>
      </c>
      <c r="L13" t="inlineStr">
        <is>
          <t>In Progress</t>
        </is>
      </c>
    </row>
    <row r="14">
      <c r="A14" t="n">
        <v>13</v>
      </c>
      <c r="B14" t="inlineStr">
        <is>
          <t>Sriperumbudur Plant</t>
        </is>
      </c>
      <c r="C14" t="inlineStr">
        <is>
          <t>Assembly</t>
        </is>
      </c>
      <c r="D14" t="inlineStr">
        <is>
          <t>Samsung</t>
        </is>
      </c>
      <c r="E14" t="inlineStr">
        <is>
          <t>Smartphone</t>
        </is>
      </c>
      <c r="F14" t="inlineStr">
        <is>
          <t>Galaxy A55</t>
        </is>
      </c>
      <c r="G14" t="inlineStr">
        <is>
          <t>2025-12-27</t>
        </is>
      </c>
      <c r="H14" t="n">
        <v>631</v>
      </c>
      <c r="I14" t="n">
        <v>518</v>
      </c>
      <c r="J14" t="n">
        <v>18694</v>
      </c>
      <c r="K14" t="inlineStr">
        <is>
          <t>Shipped</t>
        </is>
      </c>
      <c r="L14" t="inlineStr">
        <is>
          <t>In Progress</t>
        </is>
      </c>
    </row>
    <row r="15">
      <c r="A15" t="n">
        <v>14</v>
      </c>
      <c r="B15" t="inlineStr">
        <is>
          <t>Pune Plant</t>
        </is>
      </c>
      <c r="C15" t="inlineStr">
        <is>
          <t>Manufacturing</t>
        </is>
      </c>
      <c r="D15" t="inlineStr">
        <is>
          <t>Samsung</t>
        </is>
      </c>
      <c r="E15" t="inlineStr">
        <is>
          <t>Smartphone</t>
        </is>
      </c>
      <c r="F15" t="inlineStr">
        <is>
          <t>Galaxy S24</t>
        </is>
      </c>
      <c r="G15" t="inlineStr">
        <is>
          <t>2025-08-06</t>
        </is>
      </c>
      <c r="H15" t="n">
        <v>1242</v>
      </c>
      <c r="I15" t="n">
        <v>798</v>
      </c>
      <c r="J15" t="n">
        <v>49630</v>
      </c>
      <c r="K15" t="inlineStr">
        <is>
          <t>Pending</t>
        </is>
      </c>
      <c r="L15" t="inlineStr">
        <is>
          <t>In Progress</t>
        </is>
      </c>
    </row>
    <row r="16">
      <c r="A16" t="n">
        <v>15</v>
      </c>
      <c r="B16" t="inlineStr">
        <is>
          <t>Bengaluru Plant</t>
        </is>
      </c>
      <c r="C16" t="inlineStr">
        <is>
          <t>Manufacturing</t>
        </is>
      </c>
      <c r="D16" t="inlineStr">
        <is>
          <t>Samsung</t>
        </is>
      </c>
      <c r="E16" t="inlineStr">
        <is>
          <t>Smartphone</t>
        </is>
      </c>
      <c r="F16" t="inlineStr">
        <is>
          <t>Galaxy A55</t>
        </is>
      </c>
      <c r="G16" t="inlineStr">
        <is>
          <t>2025-12-25</t>
        </is>
      </c>
      <c r="H16" t="n">
        <v>2765</v>
      </c>
      <c r="I16" t="n">
        <v>2430</v>
      </c>
      <c r="J16" t="n">
        <v>24856</v>
      </c>
      <c r="K16" t="inlineStr">
        <is>
          <t>In Transit</t>
        </is>
      </c>
      <c r="L16" t="inlineStr">
        <is>
          <t>Completed</t>
        </is>
      </c>
    </row>
    <row r="17">
      <c r="A17" t="n">
        <v>16</v>
      </c>
      <c r="B17" t="inlineStr">
        <is>
          <t>Chennai Plant</t>
        </is>
      </c>
      <c r="C17" t="inlineStr">
        <is>
          <t>Packaging</t>
        </is>
      </c>
      <c r="D17" t="inlineStr">
        <is>
          <t>Samsung</t>
        </is>
      </c>
      <c r="E17" t="inlineStr">
        <is>
          <t>Smartphone</t>
        </is>
      </c>
      <c r="F17" t="inlineStr">
        <is>
          <t>Galaxy A55</t>
        </is>
      </c>
      <c r="G17" t="inlineStr">
        <is>
          <t>2025-07-22</t>
        </is>
      </c>
      <c r="H17" t="n">
        <v>4634</v>
      </c>
      <c r="I17" t="n">
        <v>3526</v>
      </c>
      <c r="J17" t="n">
        <v>98581</v>
      </c>
      <c r="K17" t="inlineStr">
        <is>
          <t>Pending</t>
        </is>
      </c>
      <c r="L17" t="inlineStr">
        <is>
          <t>In Progress</t>
        </is>
      </c>
    </row>
    <row r="18">
      <c r="A18" t="n">
        <v>17</v>
      </c>
      <c r="B18" t="inlineStr">
        <is>
          <t>Pune Plant</t>
        </is>
      </c>
      <c r="C18" t="inlineStr">
        <is>
          <t>Packaging</t>
        </is>
      </c>
      <c r="D18" t="inlineStr">
        <is>
          <t>Samsung</t>
        </is>
      </c>
      <c r="E18" t="inlineStr">
        <is>
          <t>Smartphone</t>
        </is>
      </c>
      <c r="F18" t="inlineStr">
        <is>
          <t>Galaxy M35</t>
        </is>
      </c>
      <c r="G18" t="inlineStr">
        <is>
          <t>2025-09-09</t>
        </is>
      </c>
      <c r="H18" t="n">
        <v>2052</v>
      </c>
      <c r="I18" t="n">
        <v>1286</v>
      </c>
      <c r="J18" t="n">
        <v>115971</v>
      </c>
      <c r="K18" t="inlineStr">
        <is>
          <t>Shipped</t>
        </is>
      </c>
      <c r="L18" t="inlineStr">
        <is>
          <t>Completed</t>
        </is>
      </c>
    </row>
    <row r="19">
      <c r="A19" t="n">
        <v>18</v>
      </c>
      <c r="B19" t="inlineStr">
        <is>
          <t>Pune Plant</t>
        </is>
      </c>
      <c r="C19" t="inlineStr">
        <is>
          <t>Assembly</t>
        </is>
      </c>
      <c r="D19" t="inlineStr">
        <is>
          <t>Samsung</t>
        </is>
      </c>
      <c r="E19" t="inlineStr">
        <is>
          <t>Smartphone</t>
        </is>
      </c>
      <c r="F19" t="inlineStr">
        <is>
          <t>Galaxy M35</t>
        </is>
      </c>
      <c r="G19" t="inlineStr">
        <is>
          <t>2025-06-21</t>
        </is>
      </c>
      <c r="H19" t="n">
        <v>3764</v>
      </c>
      <c r="I19" t="n">
        <v>3045</v>
      </c>
      <c r="J19" t="n">
        <v>85998</v>
      </c>
      <c r="K19" t="inlineStr">
        <is>
          <t>Shipped</t>
        </is>
      </c>
      <c r="L19" t="inlineStr">
        <is>
          <t>In Progress</t>
        </is>
      </c>
    </row>
    <row r="20">
      <c r="A20" t="n">
        <v>19</v>
      </c>
      <c r="B20" t="inlineStr">
        <is>
          <t>Pune Plant</t>
        </is>
      </c>
      <c r="C20" t="inlineStr">
        <is>
          <t>Testing</t>
        </is>
      </c>
      <c r="D20" t="inlineStr">
        <is>
          <t>Samsung</t>
        </is>
      </c>
      <c r="E20" t="inlineStr">
        <is>
          <t>Smartphone</t>
        </is>
      </c>
      <c r="F20" t="inlineStr">
        <is>
          <t>Galaxy A55</t>
        </is>
      </c>
      <c r="G20" t="inlineStr">
        <is>
          <t>2025-12-22</t>
        </is>
      </c>
      <c r="H20" t="n">
        <v>4275</v>
      </c>
      <c r="I20" t="n">
        <v>3886</v>
      </c>
      <c r="J20" t="n">
        <v>82825</v>
      </c>
      <c r="K20" t="inlineStr">
        <is>
          <t>Pending</t>
        </is>
      </c>
      <c r="L20" t="inlineStr">
        <is>
          <t>In Progress</t>
        </is>
      </c>
    </row>
    <row r="21">
      <c r="A21" t="n">
        <v>20</v>
      </c>
      <c r="B21" t="inlineStr">
        <is>
          <t>Chennai Plant</t>
        </is>
      </c>
      <c r="C21" t="inlineStr">
        <is>
          <t>Packaging</t>
        </is>
      </c>
      <c r="D21" t="inlineStr">
        <is>
          <t>Samsung</t>
        </is>
      </c>
      <c r="E21" t="inlineStr">
        <is>
          <t>Smartphone</t>
        </is>
      </c>
      <c r="F21" t="inlineStr">
        <is>
          <t>Galaxy M35</t>
        </is>
      </c>
      <c r="G21" t="inlineStr">
        <is>
          <t>2025-07-28</t>
        </is>
      </c>
      <c r="H21" t="n">
        <v>1427</v>
      </c>
      <c r="I21" t="n">
        <v>1319</v>
      </c>
      <c r="J21" t="n">
        <v>29151</v>
      </c>
      <c r="K21" t="inlineStr">
        <is>
          <t>Shipped</t>
        </is>
      </c>
      <c r="L21" t="inlineStr">
        <is>
          <t>Completed</t>
        </is>
      </c>
    </row>
    <row r="22">
      <c r="A22" t="n">
        <v>21</v>
      </c>
      <c r="B22" t="inlineStr">
        <is>
          <t>Pune Plant</t>
        </is>
      </c>
      <c r="C22" t="inlineStr">
        <is>
          <t>Assembly</t>
        </is>
      </c>
      <c r="D22" t="inlineStr">
        <is>
          <t>Samsung</t>
        </is>
      </c>
      <c r="E22" t="inlineStr">
        <is>
          <t>Smartphone</t>
        </is>
      </c>
      <c r="F22" t="inlineStr">
        <is>
          <t>Galaxy A55</t>
        </is>
      </c>
      <c r="G22" t="inlineStr">
        <is>
          <t>2025-11-07</t>
        </is>
      </c>
      <c r="H22" t="n">
        <v>4746</v>
      </c>
      <c r="I22" t="n">
        <v>3112</v>
      </c>
      <c r="J22" t="n">
        <v>44279</v>
      </c>
      <c r="K22" t="inlineStr">
        <is>
          <t>Pending</t>
        </is>
      </c>
      <c r="L22" t="inlineStr">
        <is>
          <t>Completed</t>
        </is>
      </c>
    </row>
    <row r="23">
      <c r="A23" t="n">
        <v>22</v>
      </c>
      <c r="B23" t="inlineStr">
        <is>
          <t>Noida Plant</t>
        </is>
      </c>
      <c r="C23" t="inlineStr">
        <is>
          <t>Packaging</t>
        </is>
      </c>
      <c r="D23" t="inlineStr">
        <is>
          <t>Samsung</t>
        </is>
      </c>
      <c r="E23" t="inlineStr">
        <is>
          <t>Smartphone</t>
        </is>
      </c>
      <c r="F23" t="inlineStr">
        <is>
          <t>Galaxy A55</t>
        </is>
      </c>
      <c r="G23" t="inlineStr">
        <is>
          <t>2025-11-21</t>
        </is>
      </c>
      <c r="H23" t="n">
        <v>1726</v>
      </c>
      <c r="I23" t="n">
        <v>1642</v>
      </c>
      <c r="J23" t="n">
        <v>64091</v>
      </c>
      <c r="K23" t="inlineStr">
        <is>
          <t>Pending</t>
        </is>
      </c>
      <c r="L23" t="inlineStr">
        <is>
          <t>Completed</t>
        </is>
      </c>
    </row>
    <row r="24">
      <c r="A24" t="n">
        <v>23</v>
      </c>
      <c r="B24" t="inlineStr">
        <is>
          <t>Noida Plant</t>
        </is>
      </c>
      <c r="C24" t="inlineStr">
        <is>
          <t>Manufacturing</t>
        </is>
      </c>
      <c r="D24" t="inlineStr">
        <is>
          <t xml:space="preserve"> Samsung  </t>
        </is>
      </c>
      <c r="E24" t="inlineStr">
        <is>
          <t>Smartphone</t>
        </is>
      </c>
      <c r="F24" t="inlineStr">
        <is>
          <t>Galaxy A55</t>
        </is>
      </c>
      <c r="G24" t="inlineStr">
        <is>
          <t>2025-07-26</t>
        </is>
      </c>
      <c r="H24" t="n">
        <v>2368</v>
      </c>
      <c r="I24" t="n">
        <v>1568</v>
      </c>
      <c r="J24" t="n">
        <v>104667</v>
      </c>
      <c r="K24" t="inlineStr">
        <is>
          <t>Shipped</t>
        </is>
      </c>
      <c r="L24" t="inlineStr">
        <is>
          <t>In Progress</t>
        </is>
      </c>
    </row>
    <row r="25">
      <c r="A25" t="n">
        <v>24</v>
      </c>
      <c r="B25" t="inlineStr">
        <is>
          <t>Noida Plant</t>
        </is>
      </c>
      <c r="C25" t="inlineStr">
        <is>
          <t>Testing</t>
        </is>
      </c>
      <c r="D25" t="inlineStr">
        <is>
          <t>Samsung</t>
        </is>
      </c>
      <c r="E25" t="inlineStr">
        <is>
          <t>Smartphone</t>
        </is>
      </c>
      <c r="F25" t="inlineStr">
        <is>
          <t>Galaxy S24</t>
        </is>
      </c>
      <c r="G25" t="inlineStr">
        <is>
          <t>2025-08-04</t>
        </is>
      </c>
      <c r="H25" t="n">
        <v>2726</v>
      </c>
      <c r="I25" t="n">
        <v>2011</v>
      </c>
      <c r="J25" t="n">
        <v>113718</v>
      </c>
      <c r="K25" t="inlineStr">
        <is>
          <t>In Transit</t>
        </is>
      </c>
      <c r="L25" t="inlineStr">
        <is>
          <t>In Progress</t>
        </is>
      </c>
    </row>
    <row r="26">
      <c r="A26" t="n">
        <v>24</v>
      </c>
      <c r="B26" t="inlineStr">
        <is>
          <t>Noida Plant</t>
        </is>
      </c>
      <c r="C26" t="inlineStr">
        <is>
          <t>Testing</t>
        </is>
      </c>
      <c r="D26" t="inlineStr">
        <is>
          <t>Samsung</t>
        </is>
      </c>
      <c r="E26" t="inlineStr">
        <is>
          <t>Smartphone</t>
        </is>
      </c>
      <c r="F26" t="inlineStr">
        <is>
          <t>Galaxy S24</t>
        </is>
      </c>
      <c r="G26" t="inlineStr">
        <is>
          <t>2025-08-04</t>
        </is>
      </c>
      <c r="H26" t="n">
        <v>2726</v>
      </c>
      <c r="I26" t="n">
        <v>2011</v>
      </c>
      <c r="J26" t="n">
        <v>113718</v>
      </c>
      <c r="K26" t="inlineStr">
        <is>
          <t>In Transit</t>
        </is>
      </c>
      <c r="L26" t="inlineStr">
        <is>
          <t>In Progress</t>
        </is>
      </c>
    </row>
    <row r="27">
      <c r="A27" t="n">
        <v>26</v>
      </c>
      <c r="B27" t="inlineStr">
        <is>
          <t>Bengaluru Plant</t>
        </is>
      </c>
      <c r="C27" t="inlineStr">
        <is>
          <t>Manufacturing</t>
        </is>
      </c>
      <c r="D27" t="inlineStr">
        <is>
          <t>Samsung</t>
        </is>
      </c>
      <c r="E27" t="inlineStr">
        <is>
          <t>Smartphone</t>
        </is>
      </c>
      <c r="F27" t="inlineStr">
        <is>
          <t>Galaxy A55</t>
        </is>
      </c>
      <c r="G27" t="inlineStr">
        <is>
          <t>2025-02-05</t>
        </is>
      </c>
      <c r="H27" t="n">
        <v>1612</v>
      </c>
      <c r="I27" t="n">
        <v>1498</v>
      </c>
      <c r="J27" t="n">
        <v>45369</v>
      </c>
      <c r="K27" t="inlineStr">
        <is>
          <t>Shipped</t>
        </is>
      </c>
      <c r="L27" t="inlineStr">
        <is>
          <t>Completed</t>
        </is>
      </c>
    </row>
    <row r="28">
      <c r="A28" t="n">
        <v>27</v>
      </c>
      <c r="B28" t="inlineStr">
        <is>
          <t>Sriperumbudur Plant</t>
        </is>
      </c>
      <c r="C28" t="inlineStr">
        <is>
          <t>Packaging</t>
        </is>
      </c>
      <c r="D28" t="inlineStr">
        <is>
          <t>Samsung</t>
        </is>
      </c>
      <c r="E28" t="inlineStr">
        <is>
          <t>Smartphone</t>
        </is>
      </c>
      <c r="F28" t="inlineStr">
        <is>
          <t>Galaxy M35</t>
        </is>
      </c>
      <c r="G28" t="inlineStr">
        <is>
          <t>2025-12-08</t>
        </is>
      </c>
      <c r="H28" t="n">
        <v>783</v>
      </c>
      <c r="I28" t="n">
        <v>487</v>
      </c>
      <c r="J28" t="n">
        <v>12284</v>
      </c>
      <c r="K28" t="inlineStr">
        <is>
          <t>Shipped</t>
        </is>
      </c>
      <c r="L28" t="inlineStr">
        <is>
          <t>Completed</t>
        </is>
      </c>
    </row>
    <row r="29">
      <c r="A29" t="n">
        <v>28</v>
      </c>
      <c r="B29" t="inlineStr">
        <is>
          <t>Pune Plant</t>
        </is>
      </c>
      <c r="C29" t="inlineStr">
        <is>
          <t>Assembly</t>
        </is>
      </c>
      <c r="D29" t="inlineStr">
        <is>
          <t>Samsung</t>
        </is>
      </c>
      <c r="E29" t="inlineStr">
        <is>
          <t>Smartphone</t>
        </is>
      </c>
      <c r="F29" t="inlineStr">
        <is>
          <t>Galaxy S24</t>
        </is>
      </c>
      <c r="G29" t="inlineStr">
        <is>
          <t>2025-02-01</t>
        </is>
      </c>
      <c r="H29" t="n">
        <v>2911</v>
      </c>
      <c r="I29" t="n">
        <v>2506</v>
      </c>
      <c r="J29" t="n">
        <v>37848</v>
      </c>
      <c r="K29" t="inlineStr">
        <is>
          <t>Shipped</t>
        </is>
      </c>
      <c r="L29" t="inlineStr">
        <is>
          <t>In Progress</t>
        </is>
      </c>
    </row>
    <row r="30">
      <c r="A30" t="n">
        <v>29</v>
      </c>
      <c r="B30" t="inlineStr">
        <is>
          <t>Pune Plant</t>
        </is>
      </c>
      <c r="C30" t="inlineStr">
        <is>
          <t>Assembly</t>
        </is>
      </c>
      <c r="D30" t="inlineStr">
        <is>
          <t>Samsung</t>
        </is>
      </c>
      <c r="E30" t="inlineStr">
        <is>
          <t>Smartphone</t>
        </is>
      </c>
      <c r="F30" t="inlineStr">
        <is>
          <t>Galaxy S24</t>
        </is>
      </c>
      <c r="G30" t="inlineStr">
        <is>
          <t>2025-05-16</t>
        </is>
      </c>
      <c r="H30" t="n">
        <v>2803</v>
      </c>
      <c r="I30" t="n">
        <v>2131</v>
      </c>
      <c r="J30" t="n">
        <v>100587</v>
      </c>
      <c r="K30" t="inlineStr">
        <is>
          <t>Pending</t>
        </is>
      </c>
      <c r="L30" t="inlineStr">
        <is>
          <t>In Progress</t>
        </is>
      </c>
    </row>
    <row r="31">
      <c r="A31" t="n">
        <v>30</v>
      </c>
      <c r="B31" t="inlineStr">
        <is>
          <t>Noida Plant</t>
        </is>
      </c>
      <c r="C31" t="inlineStr">
        <is>
          <t>Assembly</t>
        </is>
      </c>
      <c r="D31" t="inlineStr">
        <is>
          <t>Samsung</t>
        </is>
      </c>
      <c r="E31" t="inlineStr">
        <is>
          <t>Smartphone</t>
        </is>
      </c>
      <c r="F31" t="inlineStr">
        <is>
          <t>Galaxy S24</t>
        </is>
      </c>
      <c r="G31" t="inlineStr">
        <is>
          <t>2025-05-17</t>
        </is>
      </c>
      <c r="H31" t="n">
        <v>2819</v>
      </c>
      <c r="I31" t="n">
        <v>1800</v>
      </c>
      <c r="J31" t="n">
        <v>49788</v>
      </c>
      <c r="K31" t="inlineStr">
        <is>
          <t>Pending</t>
        </is>
      </c>
      <c r="L31" t="inlineStr">
        <is>
          <t>Completed</t>
        </is>
      </c>
    </row>
    <row r="32">
      <c r="A32" t="n">
        <v>31</v>
      </c>
      <c r="B32" t="inlineStr">
        <is>
          <t>Pune Plant</t>
        </is>
      </c>
      <c r="C32" t="inlineStr">
        <is>
          <t>Testing</t>
        </is>
      </c>
      <c r="D32" t="inlineStr">
        <is>
          <t>Samsung</t>
        </is>
      </c>
      <c r="E32" t="inlineStr">
        <is>
          <t>Smartphone</t>
        </is>
      </c>
      <c r="F32" t="inlineStr">
        <is>
          <t>Galaxy A55</t>
        </is>
      </c>
      <c r="G32" t="inlineStr">
        <is>
          <t>2025-04-19</t>
        </is>
      </c>
      <c r="H32" t="n">
        <v>3668</v>
      </c>
      <c r="I32" t="n">
        <v>3124</v>
      </c>
      <c r="J32" t="n">
        <v>106890</v>
      </c>
      <c r="K32" t="inlineStr">
        <is>
          <t>Pending</t>
        </is>
      </c>
      <c r="L32" t="inlineStr">
        <is>
          <t>Completed</t>
        </is>
      </c>
    </row>
    <row r="33">
      <c r="A33" t="n">
        <v>32</v>
      </c>
      <c r="B33" t="inlineStr">
        <is>
          <t>Bengaluru Plant</t>
        </is>
      </c>
      <c r="C33" t="inlineStr">
        <is>
          <t>Testing</t>
        </is>
      </c>
      <c r="D33" t="inlineStr">
        <is>
          <t>Samsung</t>
        </is>
      </c>
      <c r="E33" t="inlineStr">
        <is>
          <t>Smartphone</t>
        </is>
      </c>
      <c r="F33" t="inlineStr">
        <is>
          <t>Galaxy M35</t>
        </is>
      </c>
      <c r="G33" t="inlineStr">
        <is>
          <t>2025-12-29</t>
        </is>
      </c>
      <c r="H33" t="n">
        <v>2597</v>
      </c>
      <c r="I33" t="n">
        <v>2110</v>
      </c>
      <c r="J33" t="n">
        <v>61168</v>
      </c>
      <c r="K33" t="inlineStr">
        <is>
          <t>In Transit</t>
        </is>
      </c>
      <c r="L33" t="inlineStr">
        <is>
          <t>Completed</t>
        </is>
      </c>
    </row>
    <row r="34">
      <c r="A34" t="n">
        <v>33</v>
      </c>
      <c r="B34" t="inlineStr">
        <is>
          <t>Sriperumbudur Plant</t>
        </is>
      </c>
      <c r="C34" t="inlineStr">
        <is>
          <t>Assembly</t>
        </is>
      </c>
      <c r="D34" t="inlineStr">
        <is>
          <t>Samsung</t>
        </is>
      </c>
      <c r="E34" t="inlineStr">
        <is>
          <t>Smartphone</t>
        </is>
      </c>
      <c r="F34" t="inlineStr">
        <is>
          <t>Galaxy M35</t>
        </is>
      </c>
      <c r="G34" t="inlineStr">
        <is>
          <t>2025-08-04</t>
        </is>
      </c>
      <c r="H34" t="n">
        <v>1484</v>
      </c>
      <c r="I34" t="n">
        <v>1049</v>
      </c>
      <c r="J34" t="n">
        <v>56819</v>
      </c>
      <c r="K34" t="inlineStr">
        <is>
          <t>In Transit</t>
        </is>
      </c>
      <c r="L34" t="inlineStr">
        <is>
          <t>In Progress</t>
        </is>
      </c>
    </row>
    <row r="35">
      <c r="A35" t="n">
        <v>34</v>
      </c>
      <c r="B35" t="inlineStr">
        <is>
          <t>Sriperumbudur Plant</t>
        </is>
      </c>
      <c r="C35" t="inlineStr">
        <is>
          <t>Packaging</t>
        </is>
      </c>
      <c r="D35" t="inlineStr">
        <is>
          <t>Samsung</t>
        </is>
      </c>
      <c r="E35" t="inlineStr">
        <is>
          <t>Smartphone</t>
        </is>
      </c>
      <c r="F35" t="inlineStr">
        <is>
          <t>Galaxy S24</t>
        </is>
      </c>
      <c r="G35" t="inlineStr">
        <is>
          <t>2025-05-08</t>
        </is>
      </c>
      <c r="H35" t="n">
        <v>4048</v>
      </c>
      <c r="I35" t="n">
        <v>3550</v>
      </c>
      <c r="J35" t="n">
        <v>94634</v>
      </c>
      <c r="K35" t="inlineStr">
        <is>
          <t>Shipped</t>
        </is>
      </c>
      <c r="L35" t="inlineStr">
        <is>
          <t>Completed</t>
        </is>
      </c>
    </row>
    <row r="36">
      <c r="A36" t="n">
        <v>35</v>
      </c>
      <c r="B36" t="inlineStr">
        <is>
          <t>Pune Plant</t>
        </is>
      </c>
      <c r="C36" t="inlineStr">
        <is>
          <t>Assembly</t>
        </is>
      </c>
      <c r="D36" t="inlineStr">
        <is>
          <t>Samsung</t>
        </is>
      </c>
      <c r="E36" t="inlineStr">
        <is>
          <t>Smartphone</t>
        </is>
      </c>
      <c r="F36" t="inlineStr">
        <is>
          <t>Galaxy A55</t>
        </is>
      </c>
      <c r="G36" t="inlineStr">
        <is>
          <t>2025-01-18</t>
        </is>
      </c>
      <c r="H36" t="n">
        <v>3322</v>
      </c>
      <c r="I36" t="n">
        <v>3122</v>
      </c>
      <c r="J36" t="n">
        <v>25650</v>
      </c>
      <c r="K36" t="inlineStr">
        <is>
          <t>Shipped</t>
        </is>
      </c>
      <c r="L36" t="inlineStr">
        <is>
          <t>Completed</t>
        </is>
      </c>
    </row>
    <row r="37">
      <c r="A37" t="n">
        <v>36</v>
      </c>
      <c r="B37" t="inlineStr">
        <is>
          <t>Chennai Plant</t>
        </is>
      </c>
      <c r="C37" t="inlineStr">
        <is>
          <t>Testing</t>
        </is>
      </c>
      <c r="D37" t="inlineStr">
        <is>
          <t>Samsung</t>
        </is>
      </c>
      <c r="E37" t="inlineStr">
        <is>
          <t>Smartphone</t>
        </is>
      </c>
      <c r="F37" t="inlineStr">
        <is>
          <t>Galaxy M35</t>
        </is>
      </c>
      <c r="G37" t="inlineStr">
        <is>
          <t>2025-03-20</t>
        </is>
      </c>
      <c r="H37" t="n">
        <v>2185</v>
      </c>
      <c r="I37" t="n">
        <v>1493</v>
      </c>
      <c r="J37" t="n">
        <v>62847</v>
      </c>
      <c r="K37" t="inlineStr">
        <is>
          <t>Shipped</t>
        </is>
      </c>
      <c r="L37" t="inlineStr">
        <is>
          <t>Completed</t>
        </is>
      </c>
    </row>
    <row r="38">
      <c r="A38" t="n">
        <v>37</v>
      </c>
      <c r="B38" t="inlineStr">
        <is>
          <t>Noida Plant</t>
        </is>
      </c>
      <c r="C38" t="inlineStr">
        <is>
          <t>Testing</t>
        </is>
      </c>
      <c r="D38" t="inlineStr">
        <is>
          <t>Samsung</t>
        </is>
      </c>
      <c r="E38" t="inlineStr">
        <is>
          <t>Smartphone</t>
        </is>
      </c>
      <c r="F38" t="inlineStr">
        <is>
          <t>Galaxy S24</t>
        </is>
      </c>
      <c r="G38" t="inlineStr">
        <is>
          <t>2025-09-18</t>
        </is>
      </c>
      <c r="H38" t="n">
        <v>897</v>
      </c>
      <c r="I38" t="n">
        <v>756</v>
      </c>
      <c r="J38" t="n">
        <v>105721</v>
      </c>
      <c r="K38" t="inlineStr">
        <is>
          <t>Shipped</t>
        </is>
      </c>
      <c r="L38" t="inlineStr">
        <is>
          <t>In Progress</t>
        </is>
      </c>
    </row>
    <row r="39">
      <c r="A39" t="n">
        <v>38</v>
      </c>
      <c r="B39" t="inlineStr">
        <is>
          <t>Bengaluru Plant</t>
        </is>
      </c>
      <c r="C39" t="inlineStr">
        <is>
          <t>Packaging</t>
        </is>
      </c>
      <c r="D39" t="inlineStr">
        <is>
          <t>Samsung</t>
        </is>
      </c>
      <c r="E39" t="inlineStr">
        <is>
          <t>Smartphone</t>
        </is>
      </c>
      <c r="F39" t="inlineStr">
        <is>
          <t>Galaxy M35</t>
        </is>
      </c>
      <c r="G39" t="inlineStr">
        <is>
          <t>2025-03-18</t>
        </is>
      </c>
      <c r="H39" t="n">
        <v>3060</v>
      </c>
      <c r="I39" t="n">
        <v>2568</v>
      </c>
      <c r="J39" t="n">
        <v>46919</v>
      </c>
      <c r="K39" t="inlineStr">
        <is>
          <t>Shipped</t>
        </is>
      </c>
      <c r="L39" t="inlineStr">
        <is>
          <t>In Progress</t>
        </is>
      </c>
    </row>
    <row r="40">
      <c r="A40" t="n">
        <v>39</v>
      </c>
      <c r="B40" t="inlineStr">
        <is>
          <t>Bengaluru Plant</t>
        </is>
      </c>
      <c r="C40" t="inlineStr">
        <is>
          <t>Assembly</t>
        </is>
      </c>
      <c r="D40" t="inlineStr">
        <is>
          <t>Samsung</t>
        </is>
      </c>
      <c r="E40" t="inlineStr">
        <is>
          <t>Smartphone</t>
        </is>
      </c>
      <c r="F40" t="inlineStr">
        <is>
          <t>Galaxy S24</t>
        </is>
      </c>
      <c r="G40" t="inlineStr">
        <is>
          <t>2025-05-09</t>
        </is>
      </c>
      <c r="H40" t="n">
        <v>4699</v>
      </c>
      <c r="I40" t="n">
        <v>3900</v>
      </c>
      <c r="J40" t="n">
        <v>68911</v>
      </c>
      <c r="K40" t="inlineStr">
        <is>
          <t>Pending</t>
        </is>
      </c>
      <c r="L40" t="inlineStr">
        <is>
          <t>In Progress</t>
        </is>
      </c>
    </row>
    <row r="41">
      <c r="A41" t="n">
        <v>40</v>
      </c>
      <c r="B41" t="inlineStr">
        <is>
          <t>Bengaluru Plant</t>
        </is>
      </c>
      <c r="C41" t="inlineStr">
        <is>
          <t>Assembly</t>
        </is>
      </c>
      <c r="D41" t="inlineStr">
        <is>
          <t>Samsung</t>
        </is>
      </c>
      <c r="E41" t="inlineStr">
        <is>
          <t>Smartphone</t>
        </is>
      </c>
      <c r="F41" t="inlineStr">
        <is>
          <t>Galaxy A55</t>
        </is>
      </c>
      <c r="G41" t="inlineStr">
        <is>
          <t>2025-05-13</t>
        </is>
      </c>
      <c r="H41" t="n">
        <v>2257</v>
      </c>
      <c r="I41" t="n">
        <v>1748</v>
      </c>
      <c r="J41" t="n">
        <v>33576</v>
      </c>
      <c r="K41" t="inlineStr">
        <is>
          <t>Shipped</t>
        </is>
      </c>
      <c r="L41" t="inlineStr">
        <is>
          <t>In Progress</t>
        </is>
      </c>
    </row>
    <row r="42">
      <c r="A42" t="n">
        <v>41</v>
      </c>
      <c r="B42" t="inlineStr">
        <is>
          <t>Noida Plant</t>
        </is>
      </c>
      <c r="C42" t="inlineStr">
        <is>
          <t>Manufacturing</t>
        </is>
      </c>
      <c r="D42" t="inlineStr">
        <is>
          <t>Samsung</t>
        </is>
      </c>
      <c r="E42" t="inlineStr">
        <is>
          <t>Smartphone</t>
        </is>
      </c>
      <c r="F42" t="inlineStr">
        <is>
          <t>Galaxy A55</t>
        </is>
      </c>
      <c r="G42" t="inlineStr">
        <is>
          <t>2025-10-31</t>
        </is>
      </c>
      <c r="H42" t="n">
        <v>4319</v>
      </c>
      <c r="I42" t="n">
        <v>4115</v>
      </c>
      <c r="J42" t="n">
        <v>114579</v>
      </c>
      <c r="K42" t="inlineStr">
        <is>
          <t>Shipped</t>
        </is>
      </c>
      <c r="L42" t="inlineStr">
        <is>
          <t>In Progress</t>
        </is>
      </c>
    </row>
    <row r="43">
      <c r="A43" t="n">
        <v>42</v>
      </c>
      <c r="B43" t="inlineStr">
        <is>
          <t>Sriperumbudur Plant</t>
        </is>
      </c>
      <c r="C43" t="inlineStr">
        <is>
          <t>Testing</t>
        </is>
      </c>
      <c r="D43" t="inlineStr">
        <is>
          <t>Samsung</t>
        </is>
      </c>
      <c r="E43" t="inlineStr">
        <is>
          <t>Smartphone</t>
        </is>
      </c>
      <c r="F43" t="inlineStr">
        <is>
          <t>Galaxy A55</t>
        </is>
      </c>
      <c r="G43" t="inlineStr">
        <is>
          <t>2025-09-26</t>
        </is>
      </c>
      <c r="H43" t="n">
        <v>4760</v>
      </c>
      <c r="I43" t="n">
        <v>3914</v>
      </c>
      <c r="J43" t="n">
        <v>46518</v>
      </c>
      <c r="K43" t="inlineStr">
        <is>
          <t>In Transit</t>
        </is>
      </c>
      <c r="L43" t="inlineStr">
        <is>
          <t>In Progress</t>
        </is>
      </c>
    </row>
    <row r="44">
      <c r="A44" t="n">
        <v>43</v>
      </c>
      <c r="B44" t="inlineStr">
        <is>
          <t>Sriperumbudur Plant</t>
        </is>
      </c>
      <c r="C44" t="inlineStr">
        <is>
          <t>Packaging</t>
        </is>
      </c>
      <c r="D44" t="inlineStr">
        <is>
          <t>Samsung</t>
        </is>
      </c>
      <c r="E44" t="inlineStr">
        <is>
          <t>Smartphone</t>
        </is>
      </c>
      <c r="F44" t="inlineStr">
        <is>
          <t>Galaxy S24</t>
        </is>
      </c>
      <c r="G44" t="inlineStr">
        <is>
          <t>2025-05-20</t>
        </is>
      </c>
      <c r="H44" t="n">
        <v>1849</v>
      </c>
      <c r="I44" t="n">
        <v>1477</v>
      </c>
      <c r="J44" t="n">
        <v>67860</v>
      </c>
      <c r="K44" t="inlineStr">
        <is>
          <t>Pending</t>
        </is>
      </c>
      <c r="L44" t="inlineStr">
        <is>
          <t>Completed</t>
        </is>
      </c>
    </row>
    <row r="45">
      <c r="A45" t="n">
        <v>44</v>
      </c>
      <c r="B45" t="inlineStr">
        <is>
          <t>Pune Plant</t>
        </is>
      </c>
      <c r="C45" t="inlineStr">
        <is>
          <t>Manufacturing</t>
        </is>
      </c>
      <c r="D45" t="inlineStr">
        <is>
          <t>Samsung</t>
        </is>
      </c>
      <c r="E45" t="inlineStr">
        <is>
          <t>Smartphone</t>
        </is>
      </c>
      <c r="F45" t="inlineStr">
        <is>
          <t>Galaxy A55</t>
        </is>
      </c>
      <c r="G45" t="inlineStr">
        <is>
          <t>2025-08-30</t>
        </is>
      </c>
      <c r="H45" t="n">
        <v>2599</v>
      </c>
      <c r="I45" t="n">
        <v>2114</v>
      </c>
      <c r="J45" t="n">
        <v>66780</v>
      </c>
      <c r="K45" t="inlineStr">
        <is>
          <t>Shipped</t>
        </is>
      </c>
      <c r="L45" t="inlineStr">
        <is>
          <t>Completed</t>
        </is>
      </c>
    </row>
    <row r="46">
      <c r="A46" t="n">
        <v>45</v>
      </c>
      <c r="B46" t="inlineStr">
        <is>
          <t>Noida Plant</t>
        </is>
      </c>
      <c r="C46" t="inlineStr">
        <is>
          <t>Testing</t>
        </is>
      </c>
      <c r="D46" t="inlineStr">
        <is>
          <t>Samsung</t>
        </is>
      </c>
      <c r="E46" t="inlineStr">
        <is>
          <t>Smartphone</t>
        </is>
      </c>
      <c r="F46" t="inlineStr">
        <is>
          <t>Galaxy S24</t>
        </is>
      </c>
      <c r="G46" t="inlineStr">
        <is>
          <t>2025-04-19</t>
        </is>
      </c>
      <c r="H46" t="n">
        <v>2320</v>
      </c>
      <c r="I46" t="n">
        <v>2290</v>
      </c>
      <c r="J46" t="n">
        <v>67343</v>
      </c>
      <c r="K46" t="inlineStr">
        <is>
          <t>Pending</t>
        </is>
      </c>
      <c r="L46" t="inlineStr">
        <is>
          <t>Completed</t>
        </is>
      </c>
    </row>
    <row r="47">
      <c r="A47" t="n">
        <v>46</v>
      </c>
      <c r="B47" t="inlineStr">
        <is>
          <t>Sriperumbudur Plant</t>
        </is>
      </c>
      <c r="C47" t="inlineStr">
        <is>
          <t>Assembly</t>
        </is>
      </c>
      <c r="D47" t="inlineStr">
        <is>
          <t>Samsung</t>
        </is>
      </c>
      <c r="E47" t="inlineStr">
        <is>
          <t>Smartphone</t>
        </is>
      </c>
      <c r="F47" t="inlineStr">
        <is>
          <t>Galaxy S24</t>
        </is>
      </c>
      <c r="G47" t="inlineStr">
        <is>
          <t>2025-06-13</t>
        </is>
      </c>
      <c r="H47" t="n">
        <v>3365</v>
      </c>
      <c r="I47" t="n">
        <v>2360</v>
      </c>
      <c r="J47" t="n">
        <v>31586</v>
      </c>
      <c r="K47" t="inlineStr">
        <is>
          <t>Shipped</t>
        </is>
      </c>
      <c r="L47" t="inlineStr">
        <is>
          <t>Completed</t>
        </is>
      </c>
    </row>
    <row r="48">
      <c r="A48" t="n">
        <v>47</v>
      </c>
      <c r="B48" t="inlineStr">
        <is>
          <t>Chennai Plant</t>
        </is>
      </c>
      <c r="C48" t="inlineStr">
        <is>
          <t>Assembly</t>
        </is>
      </c>
      <c r="D48" t="inlineStr">
        <is>
          <t>Samsung</t>
        </is>
      </c>
      <c r="E48" t="inlineStr">
        <is>
          <t>Smartphone</t>
        </is>
      </c>
      <c r="F48" t="inlineStr">
        <is>
          <t>Galaxy A55</t>
        </is>
      </c>
      <c r="G48" t="inlineStr">
        <is>
          <t>2025-03-11</t>
        </is>
      </c>
      <c r="H48" t="n">
        <v>3261</v>
      </c>
      <c r="I48" t="n">
        <v>2469</v>
      </c>
      <c r="J48" t="n">
        <v>117016</v>
      </c>
      <c r="K48" t="inlineStr">
        <is>
          <t>Shipped</t>
        </is>
      </c>
      <c r="L48" t="inlineStr">
        <is>
          <t>In Progress</t>
        </is>
      </c>
    </row>
    <row r="49">
      <c r="A49" t="n">
        <v>48</v>
      </c>
      <c r="B49" t="inlineStr">
        <is>
          <t>Sriperumbudur Plant</t>
        </is>
      </c>
      <c r="C49" t="inlineStr">
        <is>
          <t>Manufacturing</t>
        </is>
      </c>
      <c r="D49" t="inlineStr">
        <is>
          <t>Samsung</t>
        </is>
      </c>
      <c r="E49" t="inlineStr">
        <is>
          <t>Smartphone</t>
        </is>
      </c>
      <c r="F49" t="inlineStr">
        <is>
          <t>Galaxy S24</t>
        </is>
      </c>
      <c r="G49" t="inlineStr">
        <is>
          <t>2025-07-30</t>
        </is>
      </c>
      <c r="H49" t="n">
        <v>1719</v>
      </c>
      <c r="I49" t="n">
        <v>1151</v>
      </c>
      <c r="J49" t="n">
        <v>53303</v>
      </c>
      <c r="K49" t="inlineStr">
        <is>
          <t>In Transit</t>
        </is>
      </c>
      <c r="L49" t="inlineStr">
        <is>
          <t>In Progress</t>
        </is>
      </c>
    </row>
    <row r="50">
      <c r="A50" t="n">
        <v>49</v>
      </c>
      <c r="B50" t="inlineStr">
        <is>
          <t>Chennai Plant</t>
        </is>
      </c>
      <c r="C50" t="inlineStr">
        <is>
          <t>Assembly</t>
        </is>
      </c>
      <c r="D50" t="inlineStr">
        <is>
          <t>Samsung</t>
        </is>
      </c>
      <c r="E50" t="inlineStr">
        <is>
          <t>Smartphone</t>
        </is>
      </c>
      <c r="F50" t="inlineStr">
        <is>
          <t>Galaxy S24</t>
        </is>
      </c>
      <c r="G50" t="inlineStr">
        <is>
          <t>2025-06-17</t>
        </is>
      </c>
      <c r="H50" t="n">
        <v>3842</v>
      </c>
      <c r="I50" t="n">
        <v>2584</v>
      </c>
      <c r="J50" t="n">
        <v>70554</v>
      </c>
      <c r="K50" t="inlineStr">
        <is>
          <t>In Transit</t>
        </is>
      </c>
      <c r="L50" t="inlineStr">
        <is>
          <t>In Progress</t>
        </is>
      </c>
    </row>
    <row r="51">
      <c r="A51" t="n">
        <v>50</v>
      </c>
      <c r="B51" t="inlineStr">
        <is>
          <t>Pune Plant</t>
        </is>
      </c>
      <c r="C51" t="inlineStr">
        <is>
          <t>Testing</t>
        </is>
      </c>
      <c r="D51" t="inlineStr">
        <is>
          <t>Samsung</t>
        </is>
      </c>
      <c r="E51" t="inlineStr">
        <is>
          <t>Smartphone</t>
        </is>
      </c>
      <c r="F51" t="inlineStr">
        <is>
          <t>Galaxy A55</t>
        </is>
      </c>
      <c r="G51" t="inlineStr">
        <is>
          <t>2025-01-29</t>
        </is>
      </c>
      <c r="H51" t="n">
        <v>3003</v>
      </c>
      <c r="I51" t="n">
        <v>1884</v>
      </c>
      <c r="J51" t="n">
        <v>41580</v>
      </c>
      <c r="K51" t="inlineStr">
        <is>
          <t>In Transit</t>
        </is>
      </c>
      <c r="L51" t="inlineStr">
        <is>
          <t>In Progress</t>
        </is>
      </c>
    </row>
    <row r="52">
      <c r="A52" t="n">
        <v>51</v>
      </c>
      <c r="B52" t="inlineStr">
        <is>
          <t>Bengaluru Plant</t>
        </is>
      </c>
      <c r="C52" t="inlineStr">
        <is>
          <t>Assembly</t>
        </is>
      </c>
      <c r="D52" t="inlineStr">
        <is>
          <t>Samsung</t>
        </is>
      </c>
      <c r="E52" t="inlineStr">
        <is>
          <t>Smartphone</t>
        </is>
      </c>
      <c r="F52" t="inlineStr">
        <is>
          <t>Galaxy M35</t>
        </is>
      </c>
      <c r="G52" t="inlineStr">
        <is>
          <t>2025-03-28</t>
        </is>
      </c>
      <c r="H52" t="n">
        <v>3091</v>
      </c>
      <c r="I52" t="n">
        <v>3061</v>
      </c>
      <c r="J52" t="n">
        <v>30900</v>
      </c>
      <c r="K52" t="inlineStr">
        <is>
          <t>Shipped</t>
        </is>
      </c>
      <c r="L52" t="inlineStr">
        <is>
          <t>Completed</t>
        </is>
      </c>
    </row>
    <row r="53">
      <c r="A53" t="n">
        <v>52</v>
      </c>
      <c r="C53" t="inlineStr">
        <is>
          <t>Packaging</t>
        </is>
      </c>
      <c r="D53" t="inlineStr">
        <is>
          <t>Samsung</t>
        </is>
      </c>
      <c r="E53" t="inlineStr">
        <is>
          <t>Smartphone</t>
        </is>
      </c>
      <c r="F53" t="inlineStr">
        <is>
          <t>Galaxy M35</t>
        </is>
      </c>
      <c r="G53" t="inlineStr">
        <is>
          <t>2025-08-07</t>
        </is>
      </c>
      <c r="H53" t="n">
        <v>1015</v>
      </c>
      <c r="I53" t="n">
        <v>673</v>
      </c>
      <c r="J53" t="n">
        <v>62569</v>
      </c>
      <c r="K53" t="inlineStr">
        <is>
          <t>Shipped</t>
        </is>
      </c>
      <c r="L53" t="inlineStr">
        <is>
          <t>In Progress</t>
        </is>
      </c>
    </row>
    <row r="54">
      <c r="A54" t="n">
        <v>53</v>
      </c>
      <c r="C54" t="inlineStr">
        <is>
          <t>Testing</t>
        </is>
      </c>
      <c r="D54" t="inlineStr">
        <is>
          <t>Samsung</t>
        </is>
      </c>
      <c r="E54" t="inlineStr">
        <is>
          <t>Smartphone</t>
        </is>
      </c>
      <c r="F54" t="inlineStr">
        <is>
          <t>Galaxy M35</t>
        </is>
      </c>
      <c r="G54" t="inlineStr">
        <is>
          <t>2025-02-06</t>
        </is>
      </c>
      <c r="H54" t="n">
        <v>3608</v>
      </c>
      <c r="I54" t="n">
        <v>2407</v>
      </c>
      <c r="J54" t="n">
        <v>48615</v>
      </c>
      <c r="K54" t="inlineStr">
        <is>
          <t>In Transit</t>
        </is>
      </c>
      <c r="L54" t="inlineStr">
        <is>
          <t>In Progress</t>
        </is>
      </c>
    </row>
    <row r="55">
      <c r="A55" t="n">
        <v>54</v>
      </c>
      <c r="B55" t="inlineStr">
        <is>
          <t>Bengaluru Plant</t>
        </is>
      </c>
      <c r="C55" t="inlineStr">
        <is>
          <t>Testing</t>
        </is>
      </c>
      <c r="D55" t="inlineStr">
        <is>
          <t>Samsung</t>
        </is>
      </c>
      <c r="E55" t="inlineStr">
        <is>
          <t>Smartphone</t>
        </is>
      </c>
      <c r="F55" t="inlineStr">
        <is>
          <t>Galaxy M35</t>
        </is>
      </c>
      <c r="G55" t="inlineStr">
        <is>
          <t>2025-06-29</t>
        </is>
      </c>
      <c r="H55" t="n">
        <v>4400</v>
      </c>
      <c r="I55" t="n">
        <v>3146</v>
      </c>
      <c r="J55" t="n">
        <v>53462</v>
      </c>
      <c r="L55" t="inlineStr">
        <is>
          <t>Completed</t>
        </is>
      </c>
    </row>
    <row r="56">
      <c r="A56" t="n">
        <v>55</v>
      </c>
      <c r="B56" t="inlineStr">
        <is>
          <t>Bengaluru Plant</t>
        </is>
      </c>
      <c r="C56" t="inlineStr">
        <is>
          <t>Assembly</t>
        </is>
      </c>
      <c r="D56" t="inlineStr">
        <is>
          <t>Samsung</t>
        </is>
      </c>
      <c r="E56" t="inlineStr">
        <is>
          <t>Smartphone</t>
        </is>
      </c>
      <c r="F56" t="inlineStr">
        <is>
          <t>Galaxy A55</t>
        </is>
      </c>
      <c r="G56" t="inlineStr">
        <is>
          <t>2025-02-04</t>
        </is>
      </c>
      <c r="H56" t="n">
        <v>4009</v>
      </c>
      <c r="I56" t="n">
        <v>3805</v>
      </c>
      <c r="J56" t="n">
        <v>113250</v>
      </c>
      <c r="K56" t="inlineStr">
        <is>
          <t>In Transit</t>
        </is>
      </c>
      <c r="L56" t="inlineStr">
        <is>
          <t>In Progress</t>
        </is>
      </c>
    </row>
    <row r="57">
      <c r="A57" t="n">
        <v>56</v>
      </c>
      <c r="B57" t="inlineStr">
        <is>
          <t>Noida Plant</t>
        </is>
      </c>
      <c r="C57" t="inlineStr">
        <is>
          <t>Testing</t>
        </is>
      </c>
      <c r="D57" t="inlineStr">
        <is>
          <t>Samsung</t>
        </is>
      </c>
      <c r="E57" t="inlineStr">
        <is>
          <t>Smartphone</t>
        </is>
      </c>
      <c r="F57" t="inlineStr">
        <is>
          <t>Galaxy A55</t>
        </is>
      </c>
      <c r="G57" t="inlineStr">
        <is>
          <t>2025-12-12</t>
        </is>
      </c>
      <c r="H57" t="n">
        <v>4658</v>
      </c>
      <c r="I57" t="n">
        <v>2982</v>
      </c>
      <c r="J57" t="n">
        <v>115861</v>
      </c>
      <c r="K57" t="inlineStr">
        <is>
          <t>In Transit</t>
        </is>
      </c>
      <c r="L57" t="inlineStr">
        <is>
          <t>Completed</t>
        </is>
      </c>
    </row>
    <row r="58">
      <c r="A58" t="n">
        <v>57</v>
      </c>
      <c r="B58" t="inlineStr">
        <is>
          <t>Chennai Plant</t>
        </is>
      </c>
      <c r="C58" t="inlineStr">
        <is>
          <t>Testing</t>
        </is>
      </c>
      <c r="D58" t="inlineStr">
        <is>
          <t>Samsung</t>
        </is>
      </c>
      <c r="E58" t="inlineStr">
        <is>
          <t>Smartphone</t>
        </is>
      </c>
      <c r="F58" t="inlineStr">
        <is>
          <t>Galaxy M35</t>
        </is>
      </c>
      <c r="G58" t="inlineStr">
        <is>
          <t>2025-04-18</t>
        </is>
      </c>
      <c r="H58" t="n">
        <v>4907</v>
      </c>
      <c r="I58" t="n">
        <v>3017</v>
      </c>
      <c r="J58" t="n">
        <v>83238</v>
      </c>
      <c r="K58" t="inlineStr">
        <is>
          <t>In Transit</t>
        </is>
      </c>
      <c r="L58" t="inlineStr">
        <is>
          <t>Completed</t>
        </is>
      </c>
    </row>
    <row r="59">
      <c r="A59" t="n">
        <v>58</v>
      </c>
      <c r="B59" t="inlineStr">
        <is>
          <t>Pune Plant</t>
        </is>
      </c>
      <c r="C59" t="inlineStr">
        <is>
          <t>Manufacturing</t>
        </is>
      </c>
      <c r="D59" t="inlineStr">
        <is>
          <t>Samsung</t>
        </is>
      </c>
      <c r="E59" t="inlineStr">
        <is>
          <t>Smartphone</t>
        </is>
      </c>
      <c r="F59" t="inlineStr">
        <is>
          <t>Galaxy S24</t>
        </is>
      </c>
      <c r="G59" t="inlineStr">
        <is>
          <t>2025-11-13</t>
        </is>
      </c>
      <c r="H59" t="n">
        <v>1329</v>
      </c>
      <c r="I59" t="n">
        <v>832</v>
      </c>
      <c r="J59" t="n">
        <v>96946</v>
      </c>
      <c r="K59" t="inlineStr">
        <is>
          <t>In Transit</t>
        </is>
      </c>
      <c r="L59" t="inlineStr">
        <is>
          <t>In Progress</t>
        </is>
      </c>
    </row>
    <row r="60">
      <c r="A60" t="n">
        <v>59</v>
      </c>
      <c r="B60" t="inlineStr">
        <is>
          <t>Sriperumbudur Plant</t>
        </is>
      </c>
      <c r="C60" t="inlineStr">
        <is>
          <t>Testing</t>
        </is>
      </c>
      <c r="D60" t="inlineStr">
        <is>
          <t>Samsung</t>
        </is>
      </c>
      <c r="E60" t="inlineStr">
        <is>
          <t>Smartphone</t>
        </is>
      </c>
      <c r="F60" t="inlineStr">
        <is>
          <t>Galaxy M35</t>
        </is>
      </c>
      <c r="G60" t="inlineStr">
        <is>
          <t>2025-08-03</t>
        </is>
      </c>
      <c r="H60" t="n">
        <v>2621</v>
      </c>
      <c r="I60" t="n">
        <v>1921</v>
      </c>
      <c r="J60" t="n">
        <v>73247</v>
      </c>
      <c r="K60" t="inlineStr">
        <is>
          <t>Pending</t>
        </is>
      </c>
      <c r="L60" t="inlineStr">
        <is>
          <t>Completed</t>
        </is>
      </c>
    </row>
    <row r="61">
      <c r="A61" t="n">
        <v>60</v>
      </c>
      <c r="B61" t="inlineStr">
        <is>
          <t>Pune Plant</t>
        </is>
      </c>
      <c r="C61" t="inlineStr">
        <is>
          <t>Testing</t>
        </is>
      </c>
      <c r="D61" t="inlineStr">
        <is>
          <t>Samsung</t>
        </is>
      </c>
      <c r="E61" t="inlineStr">
        <is>
          <t>Smartphone</t>
        </is>
      </c>
      <c r="F61" t="inlineStr">
        <is>
          <t>Galaxy M35</t>
        </is>
      </c>
      <c r="G61" t="inlineStr">
        <is>
          <t>2025-01-15</t>
        </is>
      </c>
      <c r="H61" t="n">
        <v>4198</v>
      </c>
      <c r="I61" t="n">
        <v>4172</v>
      </c>
      <c r="J61" t="n">
        <v>29307</v>
      </c>
      <c r="K61" t="inlineStr">
        <is>
          <t>Shipped</t>
        </is>
      </c>
      <c r="L61" t="inlineStr">
        <is>
          <t>Completed</t>
        </is>
      </c>
    </row>
    <row r="62">
      <c r="A62" t="n">
        <v>61</v>
      </c>
      <c r="B62" t="inlineStr">
        <is>
          <t>Chennai Plant</t>
        </is>
      </c>
      <c r="C62" t="inlineStr">
        <is>
          <t>Manufacturing</t>
        </is>
      </c>
      <c r="D62" t="inlineStr">
        <is>
          <t>Apple</t>
        </is>
      </c>
      <c r="E62" t="inlineStr">
        <is>
          <t>Smartphone</t>
        </is>
      </c>
      <c r="F62" t="inlineStr">
        <is>
          <t>iPhone 16</t>
        </is>
      </c>
      <c r="G62" t="inlineStr">
        <is>
          <t>2025-03-27</t>
        </is>
      </c>
      <c r="H62" t="n">
        <v>2335</v>
      </c>
      <c r="I62" t="n">
        <v>2237</v>
      </c>
      <c r="J62" t="n">
        <v>44124</v>
      </c>
      <c r="K62" t="inlineStr">
        <is>
          <t>Pending</t>
        </is>
      </c>
      <c r="L62" t="inlineStr">
        <is>
          <t>Completed</t>
        </is>
      </c>
    </row>
    <row r="63">
      <c r="A63" t="n">
        <v>62</v>
      </c>
      <c r="B63" t="inlineStr">
        <is>
          <t>Sriperumbudur Plant</t>
        </is>
      </c>
      <c r="C63" t="inlineStr">
        <is>
          <t>Testing</t>
        </is>
      </c>
      <c r="D63" t="inlineStr">
        <is>
          <t>Apple</t>
        </is>
      </c>
      <c r="E63" t="inlineStr">
        <is>
          <t>Smartphone</t>
        </is>
      </c>
      <c r="F63" t="inlineStr">
        <is>
          <t>iPhone 15</t>
        </is>
      </c>
      <c r="G63" t="inlineStr">
        <is>
          <t>2025-11-23</t>
        </is>
      </c>
      <c r="H63" t="n">
        <v>2998</v>
      </c>
      <c r="I63" t="n">
        <v>2046</v>
      </c>
      <c r="J63" t="n">
        <v>96244</v>
      </c>
      <c r="K63" t="inlineStr">
        <is>
          <t>Pending</t>
        </is>
      </c>
      <c r="L63" t="inlineStr">
        <is>
          <t>Completed</t>
        </is>
      </c>
    </row>
    <row r="64">
      <c r="A64" t="n">
        <v>63</v>
      </c>
      <c r="B64" t="inlineStr">
        <is>
          <t>Noida Plant</t>
        </is>
      </c>
      <c r="C64" t="inlineStr">
        <is>
          <t>Manufacturing</t>
        </is>
      </c>
      <c r="D64" t="inlineStr">
        <is>
          <t xml:space="preserve"> Apple  </t>
        </is>
      </c>
      <c r="E64" t="inlineStr">
        <is>
          <t>Smartphone</t>
        </is>
      </c>
      <c r="F64" t="inlineStr">
        <is>
          <t>iPhone 16</t>
        </is>
      </c>
      <c r="G64" t="inlineStr">
        <is>
          <t>2025-08-19</t>
        </is>
      </c>
      <c r="H64" t="n">
        <v>1238</v>
      </c>
      <c r="I64" t="n">
        <v>872</v>
      </c>
      <c r="J64" t="n">
        <v>110413</v>
      </c>
      <c r="K64" t="inlineStr">
        <is>
          <t>In Transit</t>
        </is>
      </c>
      <c r="L64" t="inlineStr">
        <is>
          <t>Completed</t>
        </is>
      </c>
    </row>
    <row r="65">
      <c r="A65" t="n">
        <v>64</v>
      </c>
      <c r="B65" t="inlineStr">
        <is>
          <t>Bengaluru Plant</t>
        </is>
      </c>
      <c r="C65" t="inlineStr">
        <is>
          <t>Assembly</t>
        </is>
      </c>
      <c r="D65" t="inlineStr">
        <is>
          <t>Apple</t>
        </is>
      </c>
      <c r="E65" t="inlineStr">
        <is>
          <t>Smartphone</t>
        </is>
      </c>
      <c r="F65" t="inlineStr">
        <is>
          <t>iPhone 16</t>
        </is>
      </c>
      <c r="G65" t="inlineStr">
        <is>
          <t>2025-10-08</t>
        </is>
      </c>
      <c r="H65" t="n">
        <v>3946</v>
      </c>
      <c r="I65" t="n">
        <v>2563</v>
      </c>
      <c r="J65" t="n">
        <v>97923</v>
      </c>
      <c r="K65" t="inlineStr">
        <is>
          <t>Pending</t>
        </is>
      </c>
      <c r="L65" t="inlineStr">
        <is>
          <t>Completed</t>
        </is>
      </c>
    </row>
    <row r="66">
      <c r="A66" t="n">
        <v>65</v>
      </c>
      <c r="B66" t="inlineStr">
        <is>
          <t>Bengaluru Plant</t>
        </is>
      </c>
      <c r="C66" t="inlineStr">
        <is>
          <t>Packaging</t>
        </is>
      </c>
      <c r="D66" t="inlineStr">
        <is>
          <t>Apple</t>
        </is>
      </c>
      <c r="E66" t="inlineStr">
        <is>
          <t>Smartphone</t>
        </is>
      </c>
      <c r="F66" t="inlineStr">
        <is>
          <t>iPhone 16</t>
        </is>
      </c>
      <c r="G66" t="inlineStr">
        <is>
          <t>2025-08-25</t>
        </is>
      </c>
      <c r="H66" t="n">
        <v>739</v>
      </c>
      <c r="I66" t="n">
        <v>735</v>
      </c>
      <c r="J66" t="n">
        <v>87242</v>
      </c>
      <c r="K66" t="inlineStr">
        <is>
          <t>Pending</t>
        </is>
      </c>
      <c r="L66" t="inlineStr">
        <is>
          <t>In Progress</t>
        </is>
      </c>
    </row>
    <row r="67">
      <c r="A67" t="n">
        <v>66</v>
      </c>
      <c r="B67" t="inlineStr">
        <is>
          <t>Bengaluru Plant</t>
        </is>
      </c>
      <c r="C67" t="inlineStr">
        <is>
          <t>Packaging</t>
        </is>
      </c>
      <c r="D67" t="inlineStr">
        <is>
          <t>Apple</t>
        </is>
      </c>
      <c r="E67" t="inlineStr">
        <is>
          <t>Smartphone</t>
        </is>
      </c>
      <c r="F67" t="inlineStr">
        <is>
          <t>iPhone 16</t>
        </is>
      </c>
      <c r="G67" t="inlineStr">
        <is>
          <t>2025-08-28</t>
        </is>
      </c>
      <c r="H67" t="n">
        <v>4423</v>
      </c>
      <c r="I67" t="n">
        <v>3783</v>
      </c>
      <c r="J67" t="n">
        <v>57138</v>
      </c>
      <c r="K67" t="inlineStr">
        <is>
          <t>In Transit</t>
        </is>
      </c>
      <c r="L67" t="inlineStr">
        <is>
          <t>Completed</t>
        </is>
      </c>
    </row>
    <row r="68">
      <c r="A68" t="n">
        <v>67</v>
      </c>
      <c r="B68" t="inlineStr">
        <is>
          <t>Pune Plant</t>
        </is>
      </c>
      <c r="C68" t="inlineStr">
        <is>
          <t>Testing</t>
        </is>
      </c>
      <c r="D68" t="inlineStr">
        <is>
          <t>Apple</t>
        </is>
      </c>
      <c r="E68" t="inlineStr">
        <is>
          <t>Smartphone</t>
        </is>
      </c>
      <c r="F68" t="inlineStr">
        <is>
          <t>iPhone 16</t>
        </is>
      </c>
      <c r="G68" t="inlineStr">
        <is>
          <t>2025-08-25</t>
        </is>
      </c>
      <c r="H68" t="n">
        <v>2432</v>
      </c>
      <c r="I68" t="n">
        <v>1736</v>
      </c>
      <c r="J68" t="n">
        <v>45050</v>
      </c>
      <c r="K68" t="inlineStr">
        <is>
          <t>Shipped</t>
        </is>
      </c>
      <c r="L68" t="inlineStr">
        <is>
          <t>In Progress</t>
        </is>
      </c>
    </row>
    <row r="69">
      <c r="A69" t="n">
        <v>68</v>
      </c>
      <c r="B69" t="inlineStr">
        <is>
          <t>Sriperumbudur Plant</t>
        </is>
      </c>
      <c r="C69" t="inlineStr">
        <is>
          <t>Testing</t>
        </is>
      </c>
      <c r="D69" t="inlineStr">
        <is>
          <t>Apple</t>
        </is>
      </c>
      <c r="E69" t="inlineStr">
        <is>
          <t>Smartphone</t>
        </is>
      </c>
      <c r="F69" t="inlineStr">
        <is>
          <t>iPhone 15</t>
        </is>
      </c>
      <c r="G69" t="inlineStr">
        <is>
          <t>2025-12-08</t>
        </is>
      </c>
      <c r="H69" t="n">
        <v>2603</v>
      </c>
      <c r="I69" t="n">
        <v>2407</v>
      </c>
      <c r="J69" t="n">
        <v>104598</v>
      </c>
      <c r="K69" t="inlineStr">
        <is>
          <t>Pending</t>
        </is>
      </c>
      <c r="L69" t="inlineStr">
        <is>
          <t>Completed</t>
        </is>
      </c>
    </row>
    <row r="70">
      <c r="A70" t="n">
        <v>68</v>
      </c>
      <c r="B70" t="inlineStr">
        <is>
          <t>Sriperumbudur Plant</t>
        </is>
      </c>
      <c r="C70" t="inlineStr">
        <is>
          <t>Testing</t>
        </is>
      </c>
      <c r="D70" t="inlineStr">
        <is>
          <t>Apple</t>
        </is>
      </c>
      <c r="E70" t="inlineStr">
        <is>
          <t>Smartphone</t>
        </is>
      </c>
      <c r="F70" t="inlineStr">
        <is>
          <t>iPhone 15</t>
        </is>
      </c>
      <c r="G70" t="inlineStr">
        <is>
          <t>2025-12-08</t>
        </is>
      </c>
      <c r="H70" t="n">
        <v>2603</v>
      </c>
      <c r="I70" t="n">
        <v>2407</v>
      </c>
      <c r="J70" t="n">
        <v>104598</v>
      </c>
      <c r="K70" t="inlineStr">
        <is>
          <t>Pending</t>
        </is>
      </c>
      <c r="L70" t="inlineStr">
        <is>
          <t>Completed</t>
        </is>
      </c>
    </row>
    <row r="71">
      <c r="A71" t="n">
        <v>70</v>
      </c>
      <c r="C71" t="inlineStr">
        <is>
          <t>Packaging</t>
        </is>
      </c>
      <c r="D71" t="inlineStr">
        <is>
          <t>Apple</t>
        </is>
      </c>
      <c r="E71" t="inlineStr">
        <is>
          <t>Smartphone</t>
        </is>
      </c>
      <c r="F71" t="inlineStr">
        <is>
          <t>iPhone 15</t>
        </is>
      </c>
      <c r="G71" t="inlineStr">
        <is>
          <t>2025-02-09</t>
        </is>
      </c>
      <c r="H71" t="n">
        <v>3049</v>
      </c>
      <c r="I71" t="n">
        <v>2976</v>
      </c>
      <c r="J71" t="n">
        <v>57913</v>
      </c>
      <c r="K71" t="inlineStr">
        <is>
          <t>In Transit</t>
        </is>
      </c>
      <c r="L71" t="inlineStr">
        <is>
          <t>In Progress</t>
        </is>
      </c>
    </row>
    <row r="72">
      <c r="A72" t="n">
        <v>71</v>
      </c>
      <c r="B72" t="inlineStr">
        <is>
          <t>Bengaluru Plant</t>
        </is>
      </c>
      <c r="C72" t="inlineStr">
        <is>
          <t>Testing</t>
        </is>
      </c>
      <c r="D72" t="inlineStr">
        <is>
          <t>Apple</t>
        </is>
      </c>
      <c r="E72" t="inlineStr">
        <is>
          <t>Smartphone</t>
        </is>
      </c>
      <c r="F72" t="inlineStr">
        <is>
          <t>iPhone 16</t>
        </is>
      </c>
      <c r="G72" t="inlineStr">
        <is>
          <t>2025-09-27</t>
        </is>
      </c>
      <c r="H72" t="n">
        <v>4066</v>
      </c>
      <c r="I72" t="n">
        <v>3216</v>
      </c>
      <c r="J72" t="n">
        <v>85071</v>
      </c>
      <c r="K72" t="inlineStr">
        <is>
          <t>Pending</t>
        </is>
      </c>
      <c r="L72" t="inlineStr">
        <is>
          <t>Completed</t>
        </is>
      </c>
    </row>
    <row r="73">
      <c r="A73" t="n">
        <v>72</v>
      </c>
      <c r="B73" t="inlineStr">
        <is>
          <t>Chennai Plant</t>
        </is>
      </c>
      <c r="C73" t="inlineStr">
        <is>
          <t>Packaging</t>
        </is>
      </c>
      <c r="D73" t="inlineStr">
        <is>
          <t>Apple</t>
        </is>
      </c>
      <c r="E73" t="inlineStr">
        <is>
          <t>Smartphone</t>
        </is>
      </c>
      <c r="F73" t="inlineStr">
        <is>
          <t>iPhone 16</t>
        </is>
      </c>
      <c r="G73" t="inlineStr">
        <is>
          <t>2025-12-14</t>
        </is>
      </c>
      <c r="H73" t="n">
        <v>4685</v>
      </c>
      <c r="I73" t="n">
        <v>3175</v>
      </c>
      <c r="J73" t="n">
        <v>93915</v>
      </c>
      <c r="K73" t="inlineStr">
        <is>
          <t>Shipped</t>
        </is>
      </c>
      <c r="L73" t="inlineStr">
        <is>
          <t>Completed</t>
        </is>
      </c>
    </row>
    <row r="74">
      <c r="A74" t="n">
        <v>73</v>
      </c>
      <c r="B74" t="inlineStr">
        <is>
          <t>Pune Plant</t>
        </is>
      </c>
      <c r="C74" t="inlineStr">
        <is>
          <t>Manufacturing</t>
        </is>
      </c>
      <c r="D74" t="inlineStr">
        <is>
          <t xml:space="preserve"> Apple  </t>
        </is>
      </c>
      <c r="E74" t="inlineStr">
        <is>
          <t>Smartphone</t>
        </is>
      </c>
      <c r="F74" t="inlineStr">
        <is>
          <t>iPhone 15</t>
        </is>
      </c>
      <c r="G74" t="inlineStr">
        <is>
          <t>2025-12-29</t>
        </is>
      </c>
      <c r="H74" t="n">
        <v>2652</v>
      </c>
      <c r="I74" t="n">
        <v>2359</v>
      </c>
      <c r="J74" t="n">
        <v>87314</v>
      </c>
      <c r="K74" t="inlineStr">
        <is>
          <t>In Transit</t>
        </is>
      </c>
      <c r="L74" t="inlineStr">
        <is>
          <t>In Progress</t>
        </is>
      </c>
    </row>
    <row r="75">
      <c r="A75" t="n">
        <v>74</v>
      </c>
      <c r="C75" t="inlineStr">
        <is>
          <t>Assembly</t>
        </is>
      </c>
      <c r="D75" t="inlineStr">
        <is>
          <t>Apple</t>
        </is>
      </c>
      <c r="E75" t="inlineStr">
        <is>
          <t>Smartphone</t>
        </is>
      </c>
      <c r="F75" t="inlineStr">
        <is>
          <t>iPhone 16 Plus</t>
        </is>
      </c>
      <c r="G75" t="inlineStr">
        <is>
          <t>2025-10-30</t>
        </is>
      </c>
      <c r="H75" t="n">
        <v>3426</v>
      </c>
      <c r="I75" t="n">
        <v>2703</v>
      </c>
      <c r="J75" t="n">
        <v>18687</v>
      </c>
      <c r="K75" t="inlineStr">
        <is>
          <t>Pending</t>
        </is>
      </c>
      <c r="L75" t="inlineStr">
        <is>
          <t>Completed</t>
        </is>
      </c>
    </row>
    <row r="76">
      <c r="A76" t="n">
        <v>75</v>
      </c>
      <c r="B76" t="inlineStr">
        <is>
          <t>Noida Plant</t>
        </is>
      </c>
      <c r="C76" t="inlineStr">
        <is>
          <t>Testing</t>
        </is>
      </c>
      <c r="D76" t="inlineStr">
        <is>
          <t>Apple</t>
        </is>
      </c>
      <c r="E76" t="inlineStr">
        <is>
          <t>Smartphone</t>
        </is>
      </c>
      <c r="F76" t="inlineStr">
        <is>
          <t>iPhone 15</t>
        </is>
      </c>
      <c r="G76" t="inlineStr">
        <is>
          <t>2025-02-03</t>
        </is>
      </c>
      <c r="H76" t="n">
        <v>2960</v>
      </c>
      <c r="I76" t="n">
        <v>2184</v>
      </c>
      <c r="J76" t="n">
        <v>81256</v>
      </c>
      <c r="K76" t="inlineStr">
        <is>
          <t>In Transit</t>
        </is>
      </c>
      <c r="L76" t="inlineStr">
        <is>
          <t>Completed</t>
        </is>
      </c>
    </row>
    <row r="77">
      <c r="A77" t="n">
        <v>76</v>
      </c>
      <c r="B77" t="inlineStr">
        <is>
          <t>Bengaluru Plant</t>
        </is>
      </c>
      <c r="C77" t="inlineStr">
        <is>
          <t>Packaging</t>
        </is>
      </c>
      <c r="D77" t="inlineStr">
        <is>
          <t>Apple</t>
        </is>
      </c>
      <c r="E77" t="inlineStr">
        <is>
          <t>Smartphone</t>
        </is>
      </c>
      <c r="F77" t="inlineStr">
        <is>
          <t>iPhone 15</t>
        </is>
      </c>
      <c r="G77" t="inlineStr">
        <is>
          <t>2025-07-08</t>
        </is>
      </c>
      <c r="H77" t="n">
        <v>1552</v>
      </c>
      <c r="I77" t="n">
        <v>1067</v>
      </c>
      <c r="J77" t="n">
        <v>23884</v>
      </c>
      <c r="K77" t="inlineStr">
        <is>
          <t>Shipped</t>
        </is>
      </c>
      <c r="L77" t="inlineStr">
        <is>
          <t>Completed</t>
        </is>
      </c>
    </row>
    <row r="78">
      <c r="A78" t="n">
        <v>77</v>
      </c>
      <c r="B78" t="inlineStr">
        <is>
          <t>Chennai Plant</t>
        </is>
      </c>
      <c r="C78" t="inlineStr">
        <is>
          <t>Packaging</t>
        </is>
      </c>
      <c r="D78" t="inlineStr">
        <is>
          <t>Apple</t>
        </is>
      </c>
      <c r="E78" t="inlineStr">
        <is>
          <t>Smartphone</t>
        </is>
      </c>
      <c r="F78" t="inlineStr">
        <is>
          <t>iPhone 15</t>
        </is>
      </c>
      <c r="G78" t="inlineStr">
        <is>
          <t>2025-02-27</t>
        </is>
      </c>
      <c r="H78" t="n">
        <v>1408</v>
      </c>
      <c r="I78" t="n">
        <v>1261</v>
      </c>
      <c r="J78" t="n">
        <v>67153</v>
      </c>
      <c r="K78" t="inlineStr">
        <is>
          <t>In Transit</t>
        </is>
      </c>
      <c r="L78" t="inlineStr">
        <is>
          <t>In Progress</t>
        </is>
      </c>
    </row>
    <row r="79">
      <c r="A79" t="n">
        <v>78</v>
      </c>
      <c r="B79" t="inlineStr">
        <is>
          <t>Sriperumbudur Plant</t>
        </is>
      </c>
      <c r="C79" t="inlineStr">
        <is>
          <t>Assembly</t>
        </is>
      </c>
      <c r="D79" t="inlineStr">
        <is>
          <t>Apple</t>
        </is>
      </c>
      <c r="E79" t="inlineStr">
        <is>
          <t>Smartphone</t>
        </is>
      </c>
      <c r="F79" t="inlineStr">
        <is>
          <t>iPhone 15</t>
        </is>
      </c>
      <c r="G79" t="inlineStr">
        <is>
          <t>2025-08-26</t>
        </is>
      </c>
      <c r="H79" t="n">
        <v>1688</v>
      </c>
      <c r="I79" t="n">
        <v>1362</v>
      </c>
      <c r="J79" t="n">
        <v>85629</v>
      </c>
      <c r="K79" t="inlineStr">
        <is>
          <t>In Transit</t>
        </is>
      </c>
      <c r="L79" t="inlineStr">
        <is>
          <t>In Progress</t>
        </is>
      </c>
    </row>
    <row r="80">
      <c r="A80" t="n">
        <v>79</v>
      </c>
      <c r="B80" t="inlineStr">
        <is>
          <t>Noida Plant</t>
        </is>
      </c>
      <c r="C80" t="inlineStr">
        <is>
          <t>Assembly</t>
        </is>
      </c>
      <c r="D80" t="inlineStr">
        <is>
          <t>Apple</t>
        </is>
      </c>
      <c r="E80" t="inlineStr">
        <is>
          <t>Smartphone</t>
        </is>
      </c>
      <c r="F80" t="inlineStr">
        <is>
          <t>iPhone 16 Plus</t>
        </is>
      </c>
      <c r="G80" t="inlineStr">
        <is>
          <t>2025-08-27</t>
        </is>
      </c>
      <c r="H80" t="n">
        <v>4465</v>
      </c>
      <c r="I80" t="n">
        <v>3637</v>
      </c>
      <c r="J80" t="n">
        <v>93822</v>
      </c>
      <c r="K80" t="inlineStr">
        <is>
          <t>Shipped</t>
        </is>
      </c>
      <c r="L80" t="inlineStr">
        <is>
          <t>Completed</t>
        </is>
      </c>
    </row>
    <row r="81">
      <c r="A81" t="n">
        <v>80</v>
      </c>
      <c r="B81" t="inlineStr">
        <is>
          <t>Pune Plant</t>
        </is>
      </c>
      <c r="C81" t="inlineStr">
        <is>
          <t>Manufacturing</t>
        </is>
      </c>
      <c r="D81" t="inlineStr">
        <is>
          <t>Apple</t>
        </is>
      </c>
      <c r="E81" t="inlineStr">
        <is>
          <t>Smartphone</t>
        </is>
      </c>
      <c r="F81" t="inlineStr">
        <is>
          <t>iPhone 16 Plus</t>
        </is>
      </c>
      <c r="G81" t="inlineStr">
        <is>
          <t>2025-03-18</t>
        </is>
      </c>
      <c r="H81" t="n">
        <v>2402</v>
      </c>
      <c r="I81" t="n">
        <v>2242</v>
      </c>
      <c r="J81" t="n">
        <v>110059</v>
      </c>
      <c r="K81" t="inlineStr">
        <is>
          <t>Pending</t>
        </is>
      </c>
      <c r="L81" t="inlineStr">
        <is>
          <t>In Progress</t>
        </is>
      </c>
    </row>
    <row r="82">
      <c r="A82" t="n">
        <v>81</v>
      </c>
      <c r="B82" t="inlineStr">
        <is>
          <t>Chennai Plant</t>
        </is>
      </c>
      <c r="C82" t="inlineStr">
        <is>
          <t>Assembly</t>
        </is>
      </c>
      <c r="D82" t="inlineStr">
        <is>
          <t>Apple</t>
        </is>
      </c>
      <c r="E82" t="inlineStr">
        <is>
          <t>Smartphone</t>
        </is>
      </c>
      <c r="F82" t="inlineStr">
        <is>
          <t>iPhone 16</t>
        </is>
      </c>
      <c r="G82" t="inlineStr">
        <is>
          <t>2025-12-18</t>
        </is>
      </c>
      <c r="H82" t="n">
        <v>2196</v>
      </c>
      <c r="I82" t="n">
        <v>1996</v>
      </c>
      <c r="J82" t="n">
        <v>34593</v>
      </c>
      <c r="K82" t="inlineStr">
        <is>
          <t>Pending</t>
        </is>
      </c>
      <c r="L82" t="inlineStr">
        <is>
          <t>Completed</t>
        </is>
      </c>
    </row>
    <row r="83">
      <c r="A83" t="n">
        <v>82</v>
      </c>
      <c r="B83" t="inlineStr">
        <is>
          <t>Pune Plant</t>
        </is>
      </c>
      <c r="C83" t="inlineStr">
        <is>
          <t>Packaging</t>
        </is>
      </c>
      <c r="D83" t="inlineStr">
        <is>
          <t>Apple</t>
        </is>
      </c>
      <c r="E83" t="inlineStr">
        <is>
          <t>Smartphone</t>
        </is>
      </c>
      <c r="F83" t="inlineStr">
        <is>
          <t>iPhone 16</t>
        </is>
      </c>
      <c r="G83" t="inlineStr">
        <is>
          <t>2025-09-07</t>
        </is>
      </c>
      <c r="H83" t="n">
        <v>4741</v>
      </c>
      <c r="I83" t="n">
        <v>4472</v>
      </c>
      <c r="J83" t="n">
        <v>77993</v>
      </c>
      <c r="K83" t="inlineStr">
        <is>
          <t>In Transit</t>
        </is>
      </c>
      <c r="L83" t="inlineStr">
        <is>
          <t>In Progress</t>
        </is>
      </c>
    </row>
    <row r="84">
      <c r="A84" t="n">
        <v>83</v>
      </c>
      <c r="B84" t="inlineStr">
        <is>
          <t>Sriperumbudur Plant</t>
        </is>
      </c>
      <c r="C84" t="inlineStr">
        <is>
          <t>Testing</t>
        </is>
      </c>
      <c r="D84" t="inlineStr">
        <is>
          <t>Apple</t>
        </is>
      </c>
      <c r="E84" t="inlineStr">
        <is>
          <t>Smartphone</t>
        </is>
      </c>
      <c r="F84" t="inlineStr">
        <is>
          <t>iPhone 16 Plus</t>
        </is>
      </c>
      <c r="G84" t="inlineStr">
        <is>
          <t>2025-10-21</t>
        </is>
      </c>
      <c r="H84" t="n">
        <v>3980</v>
      </c>
      <c r="I84" t="n">
        <v>2680</v>
      </c>
      <c r="J84" t="n">
        <v>119686</v>
      </c>
      <c r="K84" t="inlineStr">
        <is>
          <t>Shipped</t>
        </is>
      </c>
      <c r="L84" t="inlineStr">
        <is>
          <t>In Progress</t>
        </is>
      </c>
    </row>
    <row r="85">
      <c r="A85" t="n">
        <v>84</v>
      </c>
      <c r="B85" t="inlineStr">
        <is>
          <t>Chennai Plant</t>
        </is>
      </c>
      <c r="C85" t="inlineStr">
        <is>
          <t>Packaging</t>
        </is>
      </c>
      <c r="D85" t="inlineStr">
        <is>
          <t>Apple</t>
        </is>
      </c>
      <c r="E85" t="inlineStr">
        <is>
          <t>Smartphone</t>
        </is>
      </c>
      <c r="F85" t="inlineStr">
        <is>
          <t>iPhone 16</t>
        </is>
      </c>
      <c r="G85" t="inlineStr">
        <is>
          <t>2025-11-08</t>
        </is>
      </c>
      <c r="H85" t="n">
        <v>4968</v>
      </c>
      <c r="I85" t="n">
        <v>4477</v>
      </c>
      <c r="J85" t="n">
        <v>26266</v>
      </c>
      <c r="K85" t="inlineStr">
        <is>
          <t>In Transit</t>
        </is>
      </c>
      <c r="L85" t="inlineStr">
        <is>
          <t>In Progress</t>
        </is>
      </c>
    </row>
    <row r="86">
      <c r="A86" t="n">
        <v>85</v>
      </c>
      <c r="B86" t="inlineStr">
        <is>
          <t>Noida Plant</t>
        </is>
      </c>
      <c r="C86" t="inlineStr">
        <is>
          <t>Manufacturing</t>
        </is>
      </c>
      <c r="D86" t="inlineStr">
        <is>
          <t>Apple</t>
        </is>
      </c>
      <c r="E86" t="inlineStr">
        <is>
          <t>Smartphone</t>
        </is>
      </c>
      <c r="F86" t="inlineStr">
        <is>
          <t>iPhone 15</t>
        </is>
      </c>
      <c r="G86" t="inlineStr">
        <is>
          <t>2025-08-21</t>
        </is>
      </c>
      <c r="H86" t="n">
        <v>1993</v>
      </c>
      <c r="I86" t="n">
        <v>1646</v>
      </c>
      <c r="J86" t="n">
        <v>35805</v>
      </c>
      <c r="K86" t="inlineStr">
        <is>
          <t>Pending</t>
        </is>
      </c>
      <c r="L86" t="inlineStr">
        <is>
          <t>Completed</t>
        </is>
      </c>
    </row>
    <row r="87">
      <c r="A87" t="n">
        <v>86</v>
      </c>
      <c r="B87" t="inlineStr">
        <is>
          <t>Bengaluru Plant</t>
        </is>
      </c>
      <c r="C87" t="inlineStr">
        <is>
          <t>Testing</t>
        </is>
      </c>
      <c r="D87" t="inlineStr">
        <is>
          <t>apple</t>
        </is>
      </c>
      <c r="E87" t="inlineStr">
        <is>
          <t>Smartphone</t>
        </is>
      </c>
      <c r="F87" t="inlineStr">
        <is>
          <t>iPhone 16 Plus</t>
        </is>
      </c>
      <c r="G87" t="inlineStr">
        <is>
          <t>2025-08-28</t>
        </is>
      </c>
      <c r="H87" t="n">
        <v>2948</v>
      </c>
      <c r="I87" t="n">
        <v>2081</v>
      </c>
      <c r="J87" t="n">
        <v>103400</v>
      </c>
      <c r="K87" t="inlineStr">
        <is>
          <t>In Transit</t>
        </is>
      </c>
      <c r="L87" t="inlineStr">
        <is>
          <t>In Progress</t>
        </is>
      </c>
    </row>
    <row r="88">
      <c r="A88" t="n">
        <v>87</v>
      </c>
      <c r="B88" t="inlineStr">
        <is>
          <t>Noida Plant</t>
        </is>
      </c>
      <c r="C88" t="inlineStr">
        <is>
          <t>Assembly</t>
        </is>
      </c>
      <c r="D88" t="inlineStr">
        <is>
          <t>Apple</t>
        </is>
      </c>
      <c r="E88" t="inlineStr">
        <is>
          <t>Smartphone</t>
        </is>
      </c>
      <c r="F88" t="inlineStr">
        <is>
          <t>iPhone 15</t>
        </is>
      </c>
      <c r="G88" t="inlineStr">
        <is>
          <t>2025-02-07</t>
        </is>
      </c>
      <c r="H88" t="n">
        <v>4480</v>
      </c>
      <c r="I88" t="n">
        <v>3047</v>
      </c>
      <c r="J88" t="n">
        <v>27747</v>
      </c>
      <c r="K88" t="inlineStr">
        <is>
          <t>In Transit</t>
        </is>
      </c>
      <c r="L88" t="inlineStr">
        <is>
          <t>Completed</t>
        </is>
      </c>
    </row>
    <row r="89">
      <c r="A89" t="n">
        <v>88</v>
      </c>
      <c r="B89" t="inlineStr">
        <is>
          <t>Noida Plant</t>
        </is>
      </c>
      <c r="C89" t="inlineStr">
        <is>
          <t>Manufacturing</t>
        </is>
      </c>
      <c r="D89" t="inlineStr">
        <is>
          <t>Apple</t>
        </is>
      </c>
      <c r="E89" t="inlineStr">
        <is>
          <t>Smartphone</t>
        </is>
      </c>
      <c r="F89" t="inlineStr">
        <is>
          <t>iPhone 16</t>
        </is>
      </c>
      <c r="G89" t="inlineStr">
        <is>
          <t>2025-01-22</t>
        </is>
      </c>
      <c r="H89" t="n">
        <v>2311</v>
      </c>
      <c r="I89" t="n">
        <v>1525</v>
      </c>
      <c r="J89" t="n">
        <v>112043</v>
      </c>
      <c r="K89" t="inlineStr">
        <is>
          <t>Pending</t>
        </is>
      </c>
      <c r="L89" t="inlineStr">
        <is>
          <t>Completed</t>
        </is>
      </c>
    </row>
    <row r="90">
      <c r="A90" t="n">
        <v>89</v>
      </c>
      <c r="B90" t="inlineStr">
        <is>
          <t>Noida Plant</t>
        </is>
      </c>
      <c r="C90" t="inlineStr">
        <is>
          <t>Packaging</t>
        </is>
      </c>
      <c r="D90" t="inlineStr">
        <is>
          <t>Apple</t>
        </is>
      </c>
      <c r="E90" t="inlineStr">
        <is>
          <t>Smartphone</t>
        </is>
      </c>
      <c r="F90" t="inlineStr">
        <is>
          <t>iPhone 15</t>
        </is>
      </c>
      <c r="G90" t="inlineStr">
        <is>
          <t>2025-02-20</t>
        </is>
      </c>
      <c r="H90" t="n">
        <v>2271</v>
      </c>
      <c r="I90" t="n">
        <v>1852</v>
      </c>
      <c r="J90" t="n">
        <v>110338</v>
      </c>
      <c r="K90" t="inlineStr">
        <is>
          <t>Pending</t>
        </is>
      </c>
      <c r="L90" t="inlineStr">
        <is>
          <t>In Progress</t>
        </is>
      </c>
    </row>
    <row r="91">
      <c r="A91" t="n">
        <v>90</v>
      </c>
      <c r="B91" t="inlineStr">
        <is>
          <t>Pune Plant</t>
        </is>
      </c>
      <c r="C91" t="inlineStr">
        <is>
          <t>Manufacturing</t>
        </is>
      </c>
      <c r="D91" t="inlineStr">
        <is>
          <t>Apple</t>
        </is>
      </c>
      <c r="E91" t="inlineStr">
        <is>
          <t>Smartphone</t>
        </is>
      </c>
      <c r="F91" t="inlineStr">
        <is>
          <t>iPhone 16 Plus</t>
        </is>
      </c>
      <c r="G91" t="inlineStr">
        <is>
          <t>2025-10-29</t>
        </is>
      </c>
      <c r="H91" t="n">
        <v>4288</v>
      </c>
      <c r="I91" t="n">
        <v>4100</v>
      </c>
      <c r="J91" t="n">
        <v>114826</v>
      </c>
      <c r="L91" t="inlineStr">
        <is>
          <t>Completed</t>
        </is>
      </c>
    </row>
    <row r="92">
      <c r="A92" t="n">
        <v>91</v>
      </c>
      <c r="B92" t="inlineStr">
        <is>
          <t>Chennai Plant</t>
        </is>
      </c>
      <c r="C92" t="inlineStr">
        <is>
          <t>Packaging</t>
        </is>
      </c>
      <c r="D92" t="inlineStr">
        <is>
          <t>Apple</t>
        </is>
      </c>
      <c r="E92" t="inlineStr">
        <is>
          <t>Smartphone</t>
        </is>
      </c>
      <c r="F92" t="inlineStr">
        <is>
          <t>iPhone 16</t>
        </is>
      </c>
      <c r="G92" t="inlineStr">
        <is>
          <t>2025-10-09</t>
        </is>
      </c>
      <c r="H92" t="n">
        <v>2944</v>
      </c>
      <c r="I92" t="n">
        <v>2269</v>
      </c>
      <c r="J92" t="n">
        <v>68188</v>
      </c>
      <c r="K92" t="inlineStr">
        <is>
          <t>In Transit</t>
        </is>
      </c>
      <c r="L92" t="inlineStr">
        <is>
          <t>Completed</t>
        </is>
      </c>
    </row>
    <row r="93">
      <c r="A93" t="n">
        <v>92</v>
      </c>
      <c r="B93" t="inlineStr">
        <is>
          <t>Sriperumbudur Plant</t>
        </is>
      </c>
      <c r="C93" t="inlineStr">
        <is>
          <t>Assembly</t>
        </is>
      </c>
      <c r="D93" t="inlineStr">
        <is>
          <t>Apple</t>
        </is>
      </c>
      <c r="E93" t="inlineStr">
        <is>
          <t>Smartphone</t>
        </is>
      </c>
      <c r="F93" t="inlineStr">
        <is>
          <t>iPhone 16 Plus</t>
        </is>
      </c>
      <c r="G93" t="inlineStr">
        <is>
          <t>2025-09-16</t>
        </is>
      </c>
      <c r="H93" t="n">
        <v>3723</v>
      </c>
      <c r="I93" t="n">
        <v>2701</v>
      </c>
      <c r="J93" t="n">
        <v>113804</v>
      </c>
      <c r="K93" t="inlineStr">
        <is>
          <t>Shipped</t>
        </is>
      </c>
      <c r="L93" t="inlineStr">
        <is>
          <t>Completed</t>
        </is>
      </c>
    </row>
    <row r="94">
      <c r="A94" t="n">
        <v>93</v>
      </c>
      <c r="B94" t="inlineStr">
        <is>
          <t>Bengaluru Plant</t>
        </is>
      </c>
      <c r="C94" t="inlineStr">
        <is>
          <t>Testing</t>
        </is>
      </c>
      <c r="D94" t="inlineStr">
        <is>
          <t>Apple</t>
        </is>
      </c>
      <c r="E94" t="inlineStr">
        <is>
          <t>Smartphone</t>
        </is>
      </c>
      <c r="F94" t="inlineStr">
        <is>
          <t>iPhone 15</t>
        </is>
      </c>
      <c r="G94" t="inlineStr">
        <is>
          <t>2025-02-13</t>
        </is>
      </c>
      <c r="H94" t="n">
        <v>1743</v>
      </c>
      <c r="I94" t="n">
        <v>1459</v>
      </c>
      <c r="J94" t="n">
        <v>108976</v>
      </c>
      <c r="K94" t="inlineStr">
        <is>
          <t>In Transit</t>
        </is>
      </c>
      <c r="L94" t="inlineStr">
        <is>
          <t>Completed</t>
        </is>
      </c>
    </row>
    <row r="95">
      <c r="A95" t="n">
        <v>94</v>
      </c>
      <c r="B95" t="inlineStr">
        <is>
          <t>Pune Plant</t>
        </is>
      </c>
      <c r="C95" t="inlineStr">
        <is>
          <t>Packaging</t>
        </is>
      </c>
      <c r="D95" t="inlineStr">
        <is>
          <t>Apple</t>
        </is>
      </c>
      <c r="E95" t="inlineStr">
        <is>
          <t>Smartphone</t>
        </is>
      </c>
      <c r="F95" t="inlineStr">
        <is>
          <t>iPhone 16 Plus</t>
        </is>
      </c>
      <c r="G95" t="inlineStr">
        <is>
          <t>2025-02-22</t>
        </is>
      </c>
      <c r="H95" t="n">
        <v>957</v>
      </c>
      <c r="I95" t="n">
        <v>810</v>
      </c>
      <c r="J95" t="n">
        <v>104464</v>
      </c>
      <c r="K95" t="inlineStr">
        <is>
          <t>Pending</t>
        </is>
      </c>
      <c r="L95" t="inlineStr">
        <is>
          <t>Completed</t>
        </is>
      </c>
    </row>
    <row r="96">
      <c r="A96" t="n">
        <v>95</v>
      </c>
      <c r="B96" t="inlineStr">
        <is>
          <t>Sriperumbudur Plant</t>
        </is>
      </c>
      <c r="C96" t="inlineStr">
        <is>
          <t>Testing</t>
        </is>
      </c>
      <c r="D96" t="inlineStr">
        <is>
          <t xml:space="preserve"> Apple  </t>
        </is>
      </c>
      <c r="E96" t="inlineStr">
        <is>
          <t>Smartphone</t>
        </is>
      </c>
      <c r="F96" t="inlineStr">
        <is>
          <t>iPhone 16</t>
        </is>
      </c>
      <c r="G96" t="inlineStr">
        <is>
          <t>2025-12-18</t>
        </is>
      </c>
      <c r="H96" t="n">
        <v>2999</v>
      </c>
      <c r="I96" t="n">
        <v>2651</v>
      </c>
      <c r="J96" t="n">
        <v>98178</v>
      </c>
      <c r="K96" t="inlineStr">
        <is>
          <t>Shipped</t>
        </is>
      </c>
      <c r="L96" t="inlineStr">
        <is>
          <t>Completed</t>
        </is>
      </c>
    </row>
    <row r="97">
      <c r="A97" t="n">
        <v>96</v>
      </c>
      <c r="B97" t="inlineStr">
        <is>
          <t>Noida Plant</t>
        </is>
      </c>
      <c r="C97" t="inlineStr">
        <is>
          <t>Assembly</t>
        </is>
      </c>
      <c r="D97" t="inlineStr">
        <is>
          <t>Apple</t>
        </is>
      </c>
      <c r="E97" t="inlineStr">
        <is>
          <t>Smartphone</t>
        </is>
      </c>
      <c r="F97" t="inlineStr">
        <is>
          <t>iPhone 16</t>
        </is>
      </c>
      <c r="G97" t="inlineStr">
        <is>
          <t>2025-06-29</t>
        </is>
      </c>
      <c r="H97" t="n">
        <v>4048</v>
      </c>
      <c r="I97" t="n">
        <v>2694</v>
      </c>
      <c r="J97" t="n">
        <v>48109</v>
      </c>
      <c r="K97" t="inlineStr">
        <is>
          <t>Shipped</t>
        </is>
      </c>
      <c r="L97" t="inlineStr">
        <is>
          <t>In Progress</t>
        </is>
      </c>
    </row>
    <row r="98">
      <c r="A98" t="n">
        <v>97</v>
      </c>
      <c r="B98" t="inlineStr">
        <is>
          <t>Sriperumbudur Plant</t>
        </is>
      </c>
      <c r="C98" t="inlineStr">
        <is>
          <t>Assembly</t>
        </is>
      </c>
      <c r="D98" t="inlineStr">
        <is>
          <t>Apple</t>
        </is>
      </c>
      <c r="E98" t="inlineStr">
        <is>
          <t>Smartphone</t>
        </is>
      </c>
      <c r="F98" t="inlineStr">
        <is>
          <t>iPhone 16</t>
        </is>
      </c>
      <c r="G98" t="inlineStr">
        <is>
          <t>2025-01-14</t>
        </is>
      </c>
      <c r="H98" t="n">
        <v>633</v>
      </c>
      <c r="I98" t="n">
        <v>437</v>
      </c>
      <c r="J98" t="n">
        <v>90994</v>
      </c>
      <c r="K98" t="inlineStr">
        <is>
          <t>Shipped</t>
        </is>
      </c>
      <c r="L98" t="inlineStr">
        <is>
          <t>Completed</t>
        </is>
      </c>
    </row>
    <row r="99">
      <c r="A99" t="n">
        <v>98</v>
      </c>
      <c r="B99" t="inlineStr">
        <is>
          <t>Chennai Plant</t>
        </is>
      </c>
      <c r="C99" t="inlineStr">
        <is>
          <t>Manufacturing</t>
        </is>
      </c>
      <c r="D99" t="inlineStr">
        <is>
          <t>Apple</t>
        </is>
      </c>
      <c r="E99" t="inlineStr">
        <is>
          <t>Smartphone</t>
        </is>
      </c>
      <c r="F99" t="inlineStr">
        <is>
          <t>iPhone 16</t>
        </is>
      </c>
      <c r="G99" t="inlineStr">
        <is>
          <t>2025-08-16</t>
        </is>
      </c>
      <c r="H99" t="n">
        <v>3335</v>
      </c>
      <c r="I99" t="n">
        <v>2818</v>
      </c>
      <c r="J99" t="n">
        <v>39790</v>
      </c>
      <c r="K99" t="inlineStr">
        <is>
          <t>Shipped</t>
        </is>
      </c>
      <c r="L99" t="inlineStr">
        <is>
          <t>In Progress</t>
        </is>
      </c>
    </row>
    <row r="100">
      <c r="A100" t="n">
        <v>99</v>
      </c>
      <c r="B100" t="inlineStr">
        <is>
          <t>Pune Plant</t>
        </is>
      </c>
      <c r="C100" t="inlineStr">
        <is>
          <t>Manufacturing</t>
        </is>
      </c>
      <c r="D100" t="inlineStr">
        <is>
          <t>Apple</t>
        </is>
      </c>
      <c r="E100" t="inlineStr">
        <is>
          <t>Smartphone</t>
        </is>
      </c>
      <c r="F100" t="inlineStr">
        <is>
          <t>iPhone 16 Plus</t>
        </is>
      </c>
      <c r="G100" t="inlineStr">
        <is>
          <t>2025-05-21</t>
        </is>
      </c>
      <c r="H100" t="n">
        <v>839</v>
      </c>
      <c r="I100" t="n">
        <v>762</v>
      </c>
      <c r="J100" t="n">
        <v>112048</v>
      </c>
      <c r="K100" t="inlineStr">
        <is>
          <t>Shipped</t>
        </is>
      </c>
      <c r="L100" t="inlineStr">
        <is>
          <t>Completed</t>
        </is>
      </c>
    </row>
    <row r="101">
      <c r="A101" t="n">
        <v>100</v>
      </c>
      <c r="B101" t="inlineStr">
        <is>
          <t>Bengaluru Plant</t>
        </is>
      </c>
      <c r="C101" t="inlineStr">
        <is>
          <t>Assembly</t>
        </is>
      </c>
      <c r="D101" t="inlineStr">
        <is>
          <t>Apple</t>
        </is>
      </c>
      <c r="E101" t="inlineStr">
        <is>
          <t>Smartphone</t>
        </is>
      </c>
      <c r="F101" t="inlineStr">
        <is>
          <t>iPhone 16</t>
        </is>
      </c>
      <c r="G101" t="inlineStr">
        <is>
          <t>2025-10-07</t>
        </is>
      </c>
      <c r="H101" t="n">
        <v>577</v>
      </c>
      <c r="I101" t="n">
        <v>548</v>
      </c>
      <c r="J101" t="n">
        <v>57327</v>
      </c>
      <c r="K101" t="inlineStr">
        <is>
          <t>Pending</t>
        </is>
      </c>
      <c r="L101" t="inlineStr">
        <is>
          <t>Completed</t>
        </is>
      </c>
    </row>
    <row r="102">
      <c r="A102" t="n">
        <v>101</v>
      </c>
      <c r="B102" t="inlineStr">
        <is>
          <t>Chennai Plant</t>
        </is>
      </c>
      <c r="C102" t="inlineStr">
        <is>
          <t>Assembly</t>
        </is>
      </c>
      <c r="D102" t="inlineStr">
        <is>
          <t>Apple</t>
        </is>
      </c>
      <c r="E102" t="inlineStr">
        <is>
          <t>Smartphone</t>
        </is>
      </c>
      <c r="F102" t="inlineStr">
        <is>
          <t>iPhone 15</t>
        </is>
      </c>
      <c r="G102" t="inlineStr">
        <is>
          <t>2025-04-09</t>
        </is>
      </c>
      <c r="H102" t="n">
        <v>3654</v>
      </c>
      <c r="I102" t="n">
        <v>2884</v>
      </c>
      <c r="J102" t="n">
        <v>62853</v>
      </c>
      <c r="K102" t="inlineStr">
        <is>
          <t>In Transit</t>
        </is>
      </c>
      <c r="L102" t="inlineStr">
        <is>
          <t>In Progress</t>
        </is>
      </c>
    </row>
    <row r="103">
      <c r="A103" t="n">
        <v>101</v>
      </c>
      <c r="B103" t="inlineStr">
        <is>
          <t>Chennai Plant</t>
        </is>
      </c>
      <c r="C103" t="inlineStr">
        <is>
          <t>Assembly</t>
        </is>
      </c>
      <c r="D103" t="inlineStr">
        <is>
          <t>Apple</t>
        </is>
      </c>
      <c r="E103" t="inlineStr">
        <is>
          <t>Smartphone</t>
        </is>
      </c>
      <c r="F103" t="inlineStr">
        <is>
          <t>iPhone 15</t>
        </is>
      </c>
      <c r="G103" t="inlineStr">
        <is>
          <t>2025-04-09</t>
        </is>
      </c>
      <c r="H103" t="n">
        <v>3654</v>
      </c>
      <c r="I103" t="n">
        <v>2884</v>
      </c>
      <c r="J103" t="n">
        <v>62853</v>
      </c>
      <c r="K103" t="inlineStr">
        <is>
          <t>In Transit</t>
        </is>
      </c>
      <c r="L103" t="inlineStr">
        <is>
          <t>In Progress</t>
        </is>
      </c>
    </row>
    <row r="104">
      <c r="A104" t="n">
        <v>103</v>
      </c>
      <c r="B104" t="inlineStr">
        <is>
          <t>Sriperumbudur Plant</t>
        </is>
      </c>
      <c r="C104" t="inlineStr">
        <is>
          <t>Testing</t>
        </is>
      </c>
      <c r="D104" t="inlineStr">
        <is>
          <t>Apple</t>
        </is>
      </c>
      <c r="E104" t="inlineStr">
        <is>
          <t>Smartphone</t>
        </is>
      </c>
      <c r="F104" t="inlineStr">
        <is>
          <t>iPhone 16</t>
        </is>
      </c>
      <c r="G104" t="inlineStr">
        <is>
          <t>2025-02-18</t>
        </is>
      </c>
      <c r="H104" t="n">
        <v>2175</v>
      </c>
      <c r="I104" t="n">
        <v>1730</v>
      </c>
      <c r="J104" t="n">
        <v>49578</v>
      </c>
      <c r="K104" t="inlineStr">
        <is>
          <t>Shipped</t>
        </is>
      </c>
      <c r="L104" t="inlineStr">
        <is>
          <t>In Progress</t>
        </is>
      </c>
    </row>
    <row r="105">
      <c r="A105" t="n">
        <v>104</v>
      </c>
      <c r="B105" t="inlineStr">
        <is>
          <t>Sriperumbudur Plant</t>
        </is>
      </c>
      <c r="C105" t="inlineStr">
        <is>
          <t>Manufacturing</t>
        </is>
      </c>
      <c r="D105" t="inlineStr">
        <is>
          <t>Apple</t>
        </is>
      </c>
      <c r="E105" t="inlineStr">
        <is>
          <t>Smartphone</t>
        </is>
      </c>
      <c r="F105" t="inlineStr">
        <is>
          <t>iPhone 16 Plus</t>
        </is>
      </c>
      <c r="G105" t="inlineStr">
        <is>
          <t>2025-04-22</t>
        </is>
      </c>
      <c r="H105" t="n">
        <v>4449</v>
      </c>
      <c r="I105" t="n">
        <v>3876</v>
      </c>
      <c r="J105" t="n">
        <v>114836</v>
      </c>
      <c r="K105" t="inlineStr">
        <is>
          <t>Shipped</t>
        </is>
      </c>
      <c r="L105" t="inlineStr">
        <is>
          <t>Completed</t>
        </is>
      </c>
    </row>
    <row r="106">
      <c r="A106" t="n">
        <v>105</v>
      </c>
      <c r="B106" t="inlineStr">
        <is>
          <t>Pune Plant</t>
        </is>
      </c>
      <c r="C106" t="inlineStr">
        <is>
          <t>Assembly</t>
        </is>
      </c>
      <c r="D106" t="inlineStr">
        <is>
          <t>Apple</t>
        </is>
      </c>
      <c r="E106" t="inlineStr">
        <is>
          <t>Smartphone</t>
        </is>
      </c>
      <c r="F106" t="inlineStr">
        <is>
          <t>iPhone 15</t>
        </is>
      </c>
      <c r="G106" t="inlineStr">
        <is>
          <t>2025-01-25</t>
        </is>
      </c>
      <c r="H106" t="n">
        <v>1857</v>
      </c>
      <c r="I106" t="n">
        <v>1159</v>
      </c>
      <c r="J106" t="n">
        <v>74711</v>
      </c>
      <c r="K106" t="inlineStr">
        <is>
          <t>In Transit</t>
        </is>
      </c>
      <c r="L106" t="inlineStr">
        <is>
          <t>Completed</t>
        </is>
      </c>
    </row>
    <row r="107">
      <c r="A107" t="n">
        <v>106</v>
      </c>
      <c r="B107" t="inlineStr">
        <is>
          <t>Chennai Plant</t>
        </is>
      </c>
      <c r="C107" t="inlineStr">
        <is>
          <t>Testing</t>
        </is>
      </c>
      <c r="D107" t="inlineStr">
        <is>
          <t>Apple</t>
        </is>
      </c>
      <c r="E107" t="inlineStr">
        <is>
          <t>Smartphone</t>
        </is>
      </c>
      <c r="F107" t="inlineStr">
        <is>
          <t>iPhone 16</t>
        </is>
      </c>
      <c r="G107" t="inlineStr">
        <is>
          <t>2025-09-17</t>
        </is>
      </c>
      <c r="H107" t="n">
        <v>3355</v>
      </c>
      <c r="I107" t="n">
        <v>3135</v>
      </c>
      <c r="J107" t="n">
        <v>119444</v>
      </c>
      <c r="K107" t="inlineStr">
        <is>
          <t>Shipped</t>
        </is>
      </c>
      <c r="L107" t="inlineStr">
        <is>
          <t>Completed</t>
        </is>
      </c>
    </row>
    <row r="108">
      <c r="A108" t="n">
        <v>107</v>
      </c>
      <c r="B108" t="inlineStr">
        <is>
          <t>Bengaluru Plant</t>
        </is>
      </c>
      <c r="C108" t="inlineStr">
        <is>
          <t>Manufacturing</t>
        </is>
      </c>
      <c r="D108" t="inlineStr">
        <is>
          <t>Apple</t>
        </is>
      </c>
      <c r="E108" t="inlineStr">
        <is>
          <t>Smartphone</t>
        </is>
      </c>
      <c r="F108" t="inlineStr">
        <is>
          <t>iPhone 16</t>
        </is>
      </c>
      <c r="G108" t="inlineStr">
        <is>
          <t>2025-04-29</t>
        </is>
      </c>
      <c r="H108" t="n">
        <v>961</v>
      </c>
      <c r="I108" t="n">
        <v>940</v>
      </c>
      <c r="J108" t="n">
        <v>33740</v>
      </c>
      <c r="K108" t="inlineStr">
        <is>
          <t>Pending</t>
        </is>
      </c>
      <c r="L108" t="inlineStr">
        <is>
          <t>In Progress</t>
        </is>
      </c>
    </row>
    <row r="109">
      <c r="A109" t="n">
        <v>108</v>
      </c>
      <c r="B109" t="inlineStr">
        <is>
          <t>Pune Plant</t>
        </is>
      </c>
      <c r="C109" t="inlineStr">
        <is>
          <t>Packaging</t>
        </is>
      </c>
      <c r="D109" t="inlineStr">
        <is>
          <t>Apple</t>
        </is>
      </c>
      <c r="E109" t="inlineStr">
        <is>
          <t>Smartphone</t>
        </is>
      </c>
      <c r="F109" t="inlineStr">
        <is>
          <t>iPhone 16</t>
        </is>
      </c>
      <c r="G109" t="inlineStr">
        <is>
          <t>2025-02-19</t>
        </is>
      </c>
      <c r="H109" t="n">
        <v>1352</v>
      </c>
      <c r="I109" t="n">
        <v>879</v>
      </c>
      <c r="J109" t="n">
        <v>118757</v>
      </c>
      <c r="K109" t="inlineStr">
        <is>
          <t>In Transit</t>
        </is>
      </c>
      <c r="L109" t="inlineStr">
        <is>
          <t>In Progress</t>
        </is>
      </c>
    </row>
    <row r="110">
      <c r="A110" t="n">
        <v>109</v>
      </c>
      <c r="B110" t="inlineStr">
        <is>
          <t>Noida Plant</t>
        </is>
      </c>
      <c r="C110" t="inlineStr">
        <is>
          <t>Packaging</t>
        </is>
      </c>
      <c r="D110" t="inlineStr">
        <is>
          <t>Apple</t>
        </is>
      </c>
      <c r="E110" t="inlineStr">
        <is>
          <t>Smartphone</t>
        </is>
      </c>
      <c r="F110" t="inlineStr">
        <is>
          <t>iPhone 16</t>
        </is>
      </c>
      <c r="G110" t="inlineStr">
        <is>
          <t>2025-03-15</t>
        </is>
      </c>
      <c r="H110" t="n">
        <v>4987</v>
      </c>
      <c r="I110" t="n">
        <v>2997</v>
      </c>
      <c r="J110" t="n">
        <v>116883</v>
      </c>
      <c r="K110" t="inlineStr">
        <is>
          <t>Shipped</t>
        </is>
      </c>
      <c r="L110" t="inlineStr">
        <is>
          <t>Completed</t>
        </is>
      </c>
    </row>
    <row r="111">
      <c r="A111" t="n">
        <v>110</v>
      </c>
      <c r="B111" t="inlineStr">
        <is>
          <t>Chennai Plant</t>
        </is>
      </c>
      <c r="C111" t="inlineStr">
        <is>
          <t>Assembly</t>
        </is>
      </c>
      <c r="D111" t="inlineStr">
        <is>
          <t>Apple</t>
        </is>
      </c>
      <c r="E111" t="inlineStr">
        <is>
          <t>Smartphone</t>
        </is>
      </c>
      <c r="F111" t="inlineStr">
        <is>
          <t>iPhone 16</t>
        </is>
      </c>
      <c r="G111" t="inlineStr">
        <is>
          <t>2025-10-20</t>
        </is>
      </c>
      <c r="H111" t="n">
        <v>2392</v>
      </c>
      <c r="I111" t="n">
        <v>1717</v>
      </c>
      <c r="J111" t="n">
        <v>119801</v>
      </c>
      <c r="K111" t="inlineStr">
        <is>
          <t>In Transit</t>
        </is>
      </c>
      <c r="L111" t="inlineStr">
        <is>
          <t>In Progress</t>
        </is>
      </c>
    </row>
    <row r="112">
      <c r="A112" t="n">
        <v>111</v>
      </c>
      <c r="B112" t="inlineStr">
        <is>
          <t>Pune Plant</t>
        </is>
      </c>
      <c r="C112" t="inlineStr">
        <is>
          <t>Assembly</t>
        </is>
      </c>
      <c r="D112" t="inlineStr">
        <is>
          <t>apple</t>
        </is>
      </c>
      <c r="E112" t="inlineStr">
        <is>
          <t>Smartphone</t>
        </is>
      </c>
      <c r="F112" t="inlineStr">
        <is>
          <t>iPhone 15</t>
        </is>
      </c>
      <c r="G112" t="inlineStr">
        <is>
          <t>2025-04-11</t>
        </is>
      </c>
      <c r="H112" t="n">
        <v>4524</v>
      </c>
      <c r="I112" t="n">
        <v>3595</v>
      </c>
      <c r="J112" t="n">
        <v>19128</v>
      </c>
      <c r="K112" t="inlineStr">
        <is>
          <t>In Transit</t>
        </is>
      </c>
      <c r="L112" t="inlineStr">
        <is>
          <t>In Progress</t>
        </is>
      </c>
    </row>
    <row r="113">
      <c r="A113" t="n">
        <v>112</v>
      </c>
      <c r="B113" t="inlineStr">
        <is>
          <t>Pune Plant</t>
        </is>
      </c>
      <c r="C113" t="inlineStr">
        <is>
          <t>Testing</t>
        </is>
      </c>
      <c r="D113" t="inlineStr">
        <is>
          <t>Apple</t>
        </is>
      </c>
      <c r="E113" t="inlineStr">
        <is>
          <t>Smartphone</t>
        </is>
      </c>
      <c r="F113" t="inlineStr">
        <is>
          <t>iPhone 16 Plus</t>
        </is>
      </c>
      <c r="G113" t="inlineStr">
        <is>
          <t>2025-07-09</t>
        </is>
      </c>
      <c r="H113" t="n">
        <v>935</v>
      </c>
      <c r="I113" t="n">
        <v>692</v>
      </c>
      <c r="J113" t="n">
        <v>26904</v>
      </c>
      <c r="K113" t="inlineStr">
        <is>
          <t>In Transit</t>
        </is>
      </c>
      <c r="L113" t="inlineStr">
        <is>
          <t>In Progress</t>
        </is>
      </c>
    </row>
    <row r="114">
      <c r="A114" t="n">
        <v>113</v>
      </c>
      <c r="B114" t="inlineStr">
        <is>
          <t>Chennai Plant</t>
        </is>
      </c>
      <c r="C114" t="inlineStr">
        <is>
          <t>Testing</t>
        </is>
      </c>
      <c r="D114" t="inlineStr">
        <is>
          <t>Apple</t>
        </is>
      </c>
      <c r="E114" t="inlineStr">
        <is>
          <t>Smartphone</t>
        </is>
      </c>
      <c r="F114" t="inlineStr">
        <is>
          <t>iPhone 15</t>
        </is>
      </c>
      <c r="G114" t="inlineStr">
        <is>
          <t>2025-11-14</t>
        </is>
      </c>
      <c r="H114" t="n">
        <v>890</v>
      </c>
      <c r="I114" t="n">
        <v>652</v>
      </c>
      <c r="J114" t="n">
        <v>84955</v>
      </c>
      <c r="K114" t="inlineStr">
        <is>
          <t>Pending</t>
        </is>
      </c>
      <c r="L114" t="inlineStr">
        <is>
          <t>Completed</t>
        </is>
      </c>
    </row>
    <row r="115">
      <c r="A115" t="n">
        <v>114</v>
      </c>
      <c r="C115" t="inlineStr">
        <is>
          <t>Manufacturing</t>
        </is>
      </c>
      <c r="D115" t="inlineStr">
        <is>
          <t>Apple</t>
        </is>
      </c>
      <c r="E115" t="inlineStr">
        <is>
          <t>Smartphone</t>
        </is>
      </c>
      <c r="F115" t="inlineStr">
        <is>
          <t>iPhone 16</t>
        </is>
      </c>
      <c r="G115" t="inlineStr">
        <is>
          <t>2025-05-27</t>
        </is>
      </c>
      <c r="H115" t="n">
        <v>3471</v>
      </c>
      <c r="I115" t="n">
        <v>3363</v>
      </c>
      <c r="J115" t="n">
        <v>52413</v>
      </c>
      <c r="K115" t="inlineStr">
        <is>
          <t>In Transit</t>
        </is>
      </c>
      <c r="L115" t="inlineStr">
        <is>
          <t>Completed</t>
        </is>
      </c>
    </row>
    <row r="116">
      <c r="A116" t="n">
        <v>115</v>
      </c>
      <c r="B116" t="inlineStr">
        <is>
          <t>Noida Plant</t>
        </is>
      </c>
      <c r="C116" t="inlineStr">
        <is>
          <t>Manufacturing</t>
        </is>
      </c>
      <c r="D116" t="inlineStr">
        <is>
          <t>Apple</t>
        </is>
      </c>
      <c r="E116" t="inlineStr">
        <is>
          <t>Smartphone</t>
        </is>
      </c>
      <c r="F116" t="inlineStr">
        <is>
          <t>iPhone 16 Plus</t>
        </is>
      </c>
      <c r="G116" t="inlineStr">
        <is>
          <t>2025-11-05</t>
        </is>
      </c>
      <c r="H116" t="n">
        <v>4409</v>
      </c>
      <c r="I116" t="n">
        <v>4382</v>
      </c>
      <c r="J116" t="n">
        <v>97309</v>
      </c>
      <c r="K116" t="inlineStr">
        <is>
          <t>In Transit</t>
        </is>
      </c>
      <c r="L116" t="inlineStr">
        <is>
          <t>Completed</t>
        </is>
      </c>
    </row>
    <row r="117">
      <c r="A117" t="n">
        <v>116</v>
      </c>
      <c r="B117" t="inlineStr">
        <is>
          <t>Noida Plant</t>
        </is>
      </c>
      <c r="C117" t="inlineStr">
        <is>
          <t>Packaging</t>
        </is>
      </c>
      <c r="D117" t="inlineStr">
        <is>
          <t>Apple</t>
        </is>
      </c>
      <c r="E117" t="inlineStr">
        <is>
          <t>Smartphone</t>
        </is>
      </c>
      <c r="F117" t="inlineStr">
        <is>
          <t>iPhone 16 Plus</t>
        </is>
      </c>
      <c r="G117" t="inlineStr">
        <is>
          <t>2025-04-08</t>
        </is>
      </c>
      <c r="H117" t="n">
        <v>513</v>
      </c>
      <c r="I117" t="n">
        <v>389</v>
      </c>
      <c r="J117" t="n">
        <v>44498</v>
      </c>
      <c r="K117" t="inlineStr">
        <is>
          <t>Shipped</t>
        </is>
      </c>
      <c r="L117" t="inlineStr">
        <is>
          <t>Completed</t>
        </is>
      </c>
    </row>
    <row r="118">
      <c r="A118" t="n">
        <v>117</v>
      </c>
      <c r="B118" t="inlineStr">
        <is>
          <t>Noida Plant</t>
        </is>
      </c>
      <c r="C118" t="inlineStr">
        <is>
          <t>Packaging</t>
        </is>
      </c>
      <c r="D118" t="inlineStr">
        <is>
          <t>Apple</t>
        </is>
      </c>
      <c r="E118" t="inlineStr">
        <is>
          <t>Smartphone</t>
        </is>
      </c>
      <c r="F118" t="inlineStr">
        <is>
          <t>iPhone 16 Plus</t>
        </is>
      </c>
      <c r="G118" t="inlineStr">
        <is>
          <t>2025-05-25</t>
        </is>
      </c>
      <c r="H118" t="n">
        <v>4984</v>
      </c>
      <c r="I118" t="n">
        <v>3699</v>
      </c>
      <c r="J118" t="n">
        <v>61691</v>
      </c>
      <c r="K118" t="inlineStr">
        <is>
          <t>Pending</t>
        </is>
      </c>
      <c r="L118" t="inlineStr">
        <is>
          <t>In Progress</t>
        </is>
      </c>
    </row>
    <row r="119">
      <c r="A119" t="n">
        <v>118</v>
      </c>
      <c r="B119" t="inlineStr">
        <is>
          <t>Pune Plant</t>
        </is>
      </c>
      <c r="C119" t="inlineStr">
        <is>
          <t>Manufacturing</t>
        </is>
      </c>
      <c r="D119" t="inlineStr">
        <is>
          <t>Apple</t>
        </is>
      </c>
      <c r="E119" t="inlineStr">
        <is>
          <t>Smartphone</t>
        </is>
      </c>
      <c r="F119" t="inlineStr">
        <is>
          <t>iPhone 16</t>
        </is>
      </c>
      <c r="G119" t="inlineStr">
        <is>
          <t>2025-05-28</t>
        </is>
      </c>
      <c r="H119" t="n">
        <v>4893</v>
      </c>
      <c r="I119" t="n">
        <v>4266</v>
      </c>
      <c r="J119" t="n">
        <v>21230</v>
      </c>
      <c r="K119" t="inlineStr">
        <is>
          <t>In Transit</t>
        </is>
      </c>
      <c r="L119" t="inlineStr">
        <is>
          <t>In Progress</t>
        </is>
      </c>
    </row>
    <row r="120">
      <c r="A120" t="n">
        <v>119</v>
      </c>
      <c r="B120" t="inlineStr">
        <is>
          <t>Chennai Plant</t>
        </is>
      </c>
      <c r="C120" t="inlineStr">
        <is>
          <t>Assembly</t>
        </is>
      </c>
      <c r="D120" t="inlineStr">
        <is>
          <t>Apple</t>
        </is>
      </c>
      <c r="E120" t="inlineStr">
        <is>
          <t>Smartphone</t>
        </is>
      </c>
      <c r="F120" t="inlineStr">
        <is>
          <t>iPhone 16 Plus</t>
        </is>
      </c>
      <c r="G120" t="inlineStr">
        <is>
          <t>2025-11-02</t>
        </is>
      </c>
      <c r="H120" t="n">
        <v>517</v>
      </c>
      <c r="I120" t="n">
        <v>376</v>
      </c>
      <c r="J120" t="n">
        <v>14149</v>
      </c>
      <c r="K120" t="inlineStr">
        <is>
          <t>Pending</t>
        </is>
      </c>
      <c r="L120" t="inlineStr">
        <is>
          <t>In Progress</t>
        </is>
      </c>
    </row>
    <row r="121">
      <c r="A121" t="n">
        <v>120</v>
      </c>
      <c r="B121" t="inlineStr">
        <is>
          <t>Pune Plant</t>
        </is>
      </c>
      <c r="C121" t="inlineStr">
        <is>
          <t>Testing</t>
        </is>
      </c>
      <c r="D121" t="inlineStr">
        <is>
          <t>Apple</t>
        </is>
      </c>
      <c r="E121" t="inlineStr">
        <is>
          <t>Smartphone</t>
        </is>
      </c>
      <c r="F121" t="inlineStr">
        <is>
          <t>iPhone 15</t>
        </is>
      </c>
      <c r="G121" t="inlineStr">
        <is>
          <t>2025-06-23</t>
        </is>
      </c>
      <c r="H121" t="n">
        <v>2898</v>
      </c>
      <c r="I121" t="n">
        <v>2216</v>
      </c>
      <c r="J121" t="n">
        <v>54938</v>
      </c>
      <c r="K121" t="inlineStr">
        <is>
          <t>In Transit</t>
        </is>
      </c>
      <c r="L121" t="inlineStr">
        <is>
          <t>Completed</t>
        </is>
      </c>
    </row>
    <row r="122">
      <c r="A122" t="n">
        <v>120</v>
      </c>
      <c r="B122" t="inlineStr">
        <is>
          <t>Pune Plant</t>
        </is>
      </c>
      <c r="C122" t="inlineStr">
        <is>
          <t>Testing</t>
        </is>
      </c>
      <c r="D122" t="inlineStr">
        <is>
          <t>Apple</t>
        </is>
      </c>
      <c r="E122" t="inlineStr">
        <is>
          <t>Smartphone</t>
        </is>
      </c>
      <c r="F122" t="inlineStr">
        <is>
          <t>iPhone 15</t>
        </is>
      </c>
      <c r="G122" t="inlineStr">
        <is>
          <t>2025-06-23</t>
        </is>
      </c>
      <c r="H122" t="n">
        <v>2898</v>
      </c>
      <c r="I122" t="n">
        <v>2216</v>
      </c>
      <c r="J122" t="n">
        <v>54938</v>
      </c>
      <c r="K122" t="inlineStr">
        <is>
          <t>In Transit</t>
        </is>
      </c>
      <c r="L122" t="inlineStr">
        <is>
          <t>Completed</t>
        </is>
      </c>
    </row>
    <row r="123">
      <c r="A123" t="n">
        <v>122</v>
      </c>
      <c r="B123" t="inlineStr">
        <is>
          <t>Chennai Plant</t>
        </is>
      </c>
      <c r="C123" t="inlineStr">
        <is>
          <t>Packaging</t>
        </is>
      </c>
      <c r="D123" t="inlineStr">
        <is>
          <t>Xiaomi</t>
        </is>
      </c>
      <c r="E123" t="inlineStr">
        <is>
          <t>Smartphone</t>
        </is>
      </c>
      <c r="F123" t="inlineStr">
        <is>
          <t>Redmi Note 14</t>
        </is>
      </c>
      <c r="G123" t="inlineStr">
        <is>
          <t>2025-02-10</t>
        </is>
      </c>
      <c r="H123" t="n">
        <v>2181</v>
      </c>
      <c r="I123" t="n">
        <v>2124</v>
      </c>
      <c r="J123" t="n">
        <v>112063</v>
      </c>
      <c r="K123" t="inlineStr">
        <is>
          <t>Shipped</t>
        </is>
      </c>
      <c r="L123" t="inlineStr">
        <is>
          <t>Completed</t>
        </is>
      </c>
    </row>
    <row r="124">
      <c r="A124" t="n">
        <v>123</v>
      </c>
      <c r="B124" t="inlineStr">
        <is>
          <t>Bengaluru Plant</t>
        </is>
      </c>
      <c r="C124" t="inlineStr">
        <is>
          <t>Manufacturing</t>
        </is>
      </c>
      <c r="D124" t="inlineStr">
        <is>
          <t>Xiaomi</t>
        </is>
      </c>
      <c r="E124" t="inlineStr">
        <is>
          <t>Smartphone</t>
        </is>
      </c>
      <c r="F124" t="inlineStr">
        <is>
          <t>Xiaomi 14</t>
        </is>
      </c>
      <c r="G124" t="inlineStr">
        <is>
          <t>2025-09-05</t>
        </is>
      </c>
      <c r="H124" t="n">
        <v>1568</v>
      </c>
      <c r="I124" t="n">
        <v>1389</v>
      </c>
      <c r="J124" t="n">
        <v>52082</v>
      </c>
      <c r="K124" t="inlineStr">
        <is>
          <t>In Transit</t>
        </is>
      </c>
      <c r="L124" t="inlineStr">
        <is>
          <t>Completed</t>
        </is>
      </c>
    </row>
    <row r="125">
      <c r="A125" t="n">
        <v>124</v>
      </c>
      <c r="B125" t="inlineStr">
        <is>
          <t>Chennai Plant</t>
        </is>
      </c>
      <c r="C125" t="inlineStr">
        <is>
          <t>Testing</t>
        </is>
      </c>
      <c r="D125" t="inlineStr">
        <is>
          <t>Xiaomi</t>
        </is>
      </c>
      <c r="E125" t="inlineStr">
        <is>
          <t>Smartphone</t>
        </is>
      </c>
      <c r="F125" t="inlineStr">
        <is>
          <t>Redmi 14C</t>
        </is>
      </c>
      <c r="G125" t="inlineStr">
        <is>
          <t>2025-06-03</t>
        </is>
      </c>
      <c r="H125" t="n">
        <v>692</v>
      </c>
      <c r="I125" t="n">
        <v>466</v>
      </c>
      <c r="J125" t="n">
        <v>106560</v>
      </c>
      <c r="K125" t="inlineStr">
        <is>
          <t>Pending</t>
        </is>
      </c>
      <c r="L125" t="inlineStr">
        <is>
          <t>In Progress</t>
        </is>
      </c>
    </row>
    <row r="126">
      <c r="A126" t="n">
        <v>125</v>
      </c>
      <c r="B126" t="inlineStr">
        <is>
          <t>Bengaluru Plant</t>
        </is>
      </c>
      <c r="C126" t="inlineStr">
        <is>
          <t>Packaging</t>
        </is>
      </c>
      <c r="D126" t="inlineStr">
        <is>
          <t>Xiaomi</t>
        </is>
      </c>
      <c r="E126" t="inlineStr">
        <is>
          <t>Smartphone</t>
        </is>
      </c>
      <c r="F126" t="inlineStr">
        <is>
          <t>Redmi 14C</t>
        </is>
      </c>
      <c r="G126" t="inlineStr">
        <is>
          <t>2025-10-17</t>
        </is>
      </c>
      <c r="H126" t="n">
        <v>3270</v>
      </c>
      <c r="I126" t="n">
        <v>2771</v>
      </c>
      <c r="J126" t="n">
        <v>62621</v>
      </c>
      <c r="K126" t="inlineStr">
        <is>
          <t>Pending</t>
        </is>
      </c>
      <c r="L126" t="inlineStr">
        <is>
          <t>Completed</t>
        </is>
      </c>
    </row>
    <row r="127">
      <c r="A127" t="n">
        <v>126</v>
      </c>
      <c r="B127" t="inlineStr">
        <is>
          <t>Chennai Plant</t>
        </is>
      </c>
      <c r="C127" t="inlineStr">
        <is>
          <t>Packaging</t>
        </is>
      </c>
      <c r="D127" t="inlineStr">
        <is>
          <t>Xiaomi</t>
        </is>
      </c>
      <c r="E127" t="inlineStr">
        <is>
          <t>Smartphone</t>
        </is>
      </c>
      <c r="F127" t="inlineStr">
        <is>
          <t>Redmi 14C</t>
        </is>
      </c>
      <c r="G127" t="inlineStr">
        <is>
          <t>2025-03-24</t>
        </is>
      </c>
      <c r="H127" t="n">
        <v>1346</v>
      </c>
      <c r="I127" t="n">
        <v>837</v>
      </c>
      <c r="J127" t="n">
        <v>27032</v>
      </c>
      <c r="K127" t="inlineStr">
        <is>
          <t>Pending</t>
        </is>
      </c>
      <c r="L127" t="inlineStr">
        <is>
          <t>In Progress</t>
        </is>
      </c>
    </row>
    <row r="128">
      <c r="A128" t="n">
        <v>127</v>
      </c>
      <c r="B128" t="inlineStr">
        <is>
          <t>Bengaluru Plant</t>
        </is>
      </c>
      <c r="C128" t="inlineStr">
        <is>
          <t>Testing</t>
        </is>
      </c>
      <c r="D128" t="inlineStr">
        <is>
          <t>Xiaomi</t>
        </is>
      </c>
      <c r="E128" t="inlineStr">
        <is>
          <t>Smartphone</t>
        </is>
      </c>
      <c r="F128" t="inlineStr">
        <is>
          <t>Xiaomi 14</t>
        </is>
      </c>
      <c r="G128" t="inlineStr">
        <is>
          <t>2025-03-18</t>
        </is>
      </c>
      <c r="H128" t="n">
        <v>3581</v>
      </c>
      <c r="I128" t="n">
        <v>3216</v>
      </c>
      <c r="J128" t="n">
        <v>103617</v>
      </c>
      <c r="K128" t="inlineStr">
        <is>
          <t>In Transit</t>
        </is>
      </c>
      <c r="L128" t="inlineStr">
        <is>
          <t>In Progress</t>
        </is>
      </c>
    </row>
    <row r="129">
      <c r="A129" t="n">
        <v>128</v>
      </c>
      <c r="B129" t="inlineStr">
        <is>
          <t>Pune Plant</t>
        </is>
      </c>
      <c r="C129" t="inlineStr">
        <is>
          <t>Assembly</t>
        </is>
      </c>
      <c r="D129" t="inlineStr">
        <is>
          <t>Xiaomi</t>
        </is>
      </c>
      <c r="E129" t="inlineStr">
        <is>
          <t>Smartphone</t>
        </is>
      </c>
      <c r="F129" t="inlineStr">
        <is>
          <t>Xiaomi 14</t>
        </is>
      </c>
      <c r="G129" t="inlineStr">
        <is>
          <t>2025-07-30</t>
        </is>
      </c>
      <c r="H129" t="n">
        <v>1146</v>
      </c>
      <c r="I129" t="n">
        <v>716</v>
      </c>
      <c r="J129" t="n">
        <v>25648</v>
      </c>
      <c r="K129" t="inlineStr">
        <is>
          <t>Pending</t>
        </is>
      </c>
      <c r="L129" t="inlineStr">
        <is>
          <t>Completed</t>
        </is>
      </c>
    </row>
    <row r="130">
      <c r="A130" t="n">
        <v>129</v>
      </c>
      <c r="B130" t="inlineStr">
        <is>
          <t>Noida Plant</t>
        </is>
      </c>
      <c r="C130" t="inlineStr">
        <is>
          <t>Manufacturing</t>
        </is>
      </c>
      <c r="D130" t="inlineStr">
        <is>
          <t>Xiaomi</t>
        </is>
      </c>
      <c r="E130" t="inlineStr">
        <is>
          <t>Smartphone</t>
        </is>
      </c>
      <c r="F130" t="inlineStr">
        <is>
          <t>Redmi 14C</t>
        </is>
      </c>
      <c r="G130" t="inlineStr">
        <is>
          <t>2025-07-19</t>
        </is>
      </c>
      <c r="H130" t="n">
        <v>4061</v>
      </c>
      <c r="I130" t="n">
        <v>3249</v>
      </c>
      <c r="J130" t="n">
        <v>86914</v>
      </c>
      <c r="K130" t="inlineStr">
        <is>
          <t>In Transit</t>
        </is>
      </c>
      <c r="L130" t="inlineStr">
        <is>
          <t>Completed</t>
        </is>
      </c>
    </row>
    <row r="131">
      <c r="A131" t="n">
        <v>130</v>
      </c>
      <c r="B131" t="inlineStr">
        <is>
          <t>Noida Plant</t>
        </is>
      </c>
      <c r="C131" t="inlineStr">
        <is>
          <t>Packaging</t>
        </is>
      </c>
      <c r="D131" t="inlineStr">
        <is>
          <t>Xiaomi</t>
        </is>
      </c>
      <c r="E131" t="inlineStr">
        <is>
          <t>Smartphone</t>
        </is>
      </c>
      <c r="F131" t="inlineStr">
        <is>
          <t>Xiaomi 14</t>
        </is>
      </c>
      <c r="G131" t="inlineStr">
        <is>
          <t>2025-01-24</t>
        </is>
      </c>
      <c r="H131" t="n">
        <v>4900</v>
      </c>
      <c r="I131" t="n">
        <v>3253</v>
      </c>
      <c r="J131" t="n">
        <v>88343</v>
      </c>
      <c r="K131" t="inlineStr">
        <is>
          <t>In Transit</t>
        </is>
      </c>
      <c r="L131" t="inlineStr">
        <is>
          <t>Completed</t>
        </is>
      </c>
    </row>
    <row r="132">
      <c r="A132" t="n">
        <v>131</v>
      </c>
      <c r="B132" t="inlineStr">
        <is>
          <t>Chennai Plant</t>
        </is>
      </c>
      <c r="C132" t="inlineStr">
        <is>
          <t>Assembly</t>
        </is>
      </c>
      <c r="D132" t="inlineStr">
        <is>
          <t>Xiaomi</t>
        </is>
      </c>
      <c r="E132" t="inlineStr">
        <is>
          <t>Smartphone</t>
        </is>
      </c>
      <c r="F132" t="inlineStr">
        <is>
          <t>Redmi Note 14</t>
        </is>
      </c>
      <c r="G132" t="inlineStr">
        <is>
          <t>2025-03-17</t>
        </is>
      </c>
      <c r="H132" t="n">
        <v>827</v>
      </c>
      <c r="I132" t="n">
        <v>636</v>
      </c>
      <c r="J132" t="n">
        <v>96289</v>
      </c>
      <c r="K132" t="inlineStr">
        <is>
          <t>Pending</t>
        </is>
      </c>
      <c r="L132" t="inlineStr">
        <is>
          <t>Completed</t>
        </is>
      </c>
    </row>
    <row r="133">
      <c r="A133" t="n">
        <v>132</v>
      </c>
      <c r="B133" t="inlineStr">
        <is>
          <t>Bengaluru Plant</t>
        </is>
      </c>
      <c r="C133" t="inlineStr">
        <is>
          <t>Testing</t>
        </is>
      </c>
      <c r="D133" t="inlineStr">
        <is>
          <t>Xiaomi</t>
        </is>
      </c>
      <c r="E133" t="inlineStr">
        <is>
          <t>Smartphone</t>
        </is>
      </c>
      <c r="F133" t="inlineStr">
        <is>
          <t>Xiaomi 14</t>
        </is>
      </c>
      <c r="G133" t="inlineStr">
        <is>
          <t>2025-07-05</t>
        </is>
      </c>
      <c r="H133" t="n">
        <v>2852</v>
      </c>
      <c r="I133" t="n">
        <v>2011</v>
      </c>
      <c r="J133" t="n">
        <v>57760</v>
      </c>
      <c r="K133" t="inlineStr">
        <is>
          <t>Shipped</t>
        </is>
      </c>
      <c r="L133" t="inlineStr">
        <is>
          <t>In Progress</t>
        </is>
      </c>
    </row>
    <row r="134">
      <c r="A134" t="n">
        <v>133</v>
      </c>
      <c r="B134" t="inlineStr">
        <is>
          <t>Sriperumbudur Plant</t>
        </is>
      </c>
      <c r="C134" t="inlineStr">
        <is>
          <t>Assembly</t>
        </is>
      </c>
      <c r="D134" t="inlineStr">
        <is>
          <t>Xiaomi</t>
        </is>
      </c>
      <c r="E134" t="inlineStr">
        <is>
          <t>Smartphone</t>
        </is>
      </c>
      <c r="F134" t="inlineStr">
        <is>
          <t>Xiaomi 14</t>
        </is>
      </c>
      <c r="G134" t="inlineStr">
        <is>
          <t>2025-08-06</t>
        </is>
      </c>
      <c r="H134" t="n">
        <v>3879</v>
      </c>
      <c r="I134" t="n">
        <v>3430</v>
      </c>
      <c r="J134" t="n">
        <v>17968</v>
      </c>
      <c r="K134" t="inlineStr">
        <is>
          <t>Pending</t>
        </is>
      </c>
      <c r="L134" t="inlineStr">
        <is>
          <t>Completed</t>
        </is>
      </c>
    </row>
    <row r="135">
      <c r="A135" t="n">
        <v>134</v>
      </c>
      <c r="B135" t="inlineStr">
        <is>
          <t>Sriperumbudur Plant</t>
        </is>
      </c>
      <c r="C135" t="inlineStr">
        <is>
          <t>Packaging</t>
        </is>
      </c>
      <c r="D135" t="inlineStr">
        <is>
          <t>Xiaomi</t>
        </is>
      </c>
      <c r="E135" t="inlineStr">
        <is>
          <t>Smartphone</t>
        </is>
      </c>
      <c r="F135" t="inlineStr">
        <is>
          <t>Redmi Note 14</t>
        </is>
      </c>
      <c r="G135" t="inlineStr">
        <is>
          <t>2025-04-29</t>
        </is>
      </c>
      <c r="H135" t="n">
        <v>1754</v>
      </c>
      <c r="I135" t="n">
        <v>1499</v>
      </c>
      <c r="J135" t="n">
        <v>35939</v>
      </c>
      <c r="K135" t="inlineStr">
        <is>
          <t>Pending</t>
        </is>
      </c>
      <c r="L135" t="inlineStr">
        <is>
          <t>Completed</t>
        </is>
      </c>
    </row>
    <row r="136">
      <c r="A136" t="n">
        <v>135</v>
      </c>
      <c r="B136" t="inlineStr">
        <is>
          <t>Chennai Plant</t>
        </is>
      </c>
      <c r="C136" t="inlineStr">
        <is>
          <t>Testing</t>
        </is>
      </c>
      <c r="D136" t="inlineStr">
        <is>
          <t>Xiaomi</t>
        </is>
      </c>
      <c r="E136" t="inlineStr">
        <is>
          <t>Smartphone</t>
        </is>
      </c>
      <c r="F136" t="inlineStr">
        <is>
          <t>Redmi 14C</t>
        </is>
      </c>
      <c r="G136" t="inlineStr">
        <is>
          <t>2025-07-16</t>
        </is>
      </c>
      <c r="H136" t="n">
        <v>2331</v>
      </c>
      <c r="I136" t="n">
        <v>1511</v>
      </c>
      <c r="J136" t="n">
        <v>23990</v>
      </c>
      <c r="K136" t="inlineStr">
        <is>
          <t>Shipped</t>
        </is>
      </c>
      <c r="L136" t="inlineStr">
        <is>
          <t>Completed</t>
        </is>
      </c>
    </row>
    <row r="137">
      <c r="A137" t="n">
        <v>136</v>
      </c>
      <c r="B137" t="inlineStr">
        <is>
          <t>Bengaluru Plant</t>
        </is>
      </c>
      <c r="C137" t="inlineStr">
        <is>
          <t>Testing</t>
        </is>
      </c>
      <c r="D137" t="inlineStr">
        <is>
          <t>Xiaomi</t>
        </is>
      </c>
      <c r="E137" t="inlineStr">
        <is>
          <t>Smartphone</t>
        </is>
      </c>
      <c r="F137" t="inlineStr">
        <is>
          <t>Redmi 14C</t>
        </is>
      </c>
      <c r="G137" t="inlineStr">
        <is>
          <t>2025-02-15</t>
        </is>
      </c>
      <c r="H137" t="n">
        <v>2629</v>
      </c>
      <c r="I137" t="n">
        <v>2341</v>
      </c>
      <c r="J137" t="n">
        <v>108139</v>
      </c>
      <c r="K137" t="inlineStr">
        <is>
          <t>In Transit</t>
        </is>
      </c>
      <c r="L137" t="inlineStr">
        <is>
          <t>In Progress</t>
        </is>
      </c>
    </row>
    <row r="138">
      <c r="A138" t="n">
        <v>137</v>
      </c>
      <c r="B138" t="inlineStr">
        <is>
          <t>Chennai Plant</t>
        </is>
      </c>
      <c r="C138" t="inlineStr">
        <is>
          <t>Testing</t>
        </is>
      </c>
      <c r="D138" t="inlineStr">
        <is>
          <t>Xiaomi</t>
        </is>
      </c>
      <c r="E138" t="inlineStr">
        <is>
          <t>Smartphone</t>
        </is>
      </c>
      <c r="F138" t="inlineStr">
        <is>
          <t>Xiaomi 14</t>
        </is>
      </c>
      <c r="G138" t="inlineStr">
        <is>
          <t>2025-06-18</t>
        </is>
      </c>
      <c r="H138" t="n">
        <v>1710</v>
      </c>
      <c r="I138" t="n">
        <v>1699</v>
      </c>
      <c r="J138" t="n">
        <v>41695</v>
      </c>
      <c r="K138" t="inlineStr">
        <is>
          <t>In Transit</t>
        </is>
      </c>
      <c r="L138" t="inlineStr">
        <is>
          <t>Completed</t>
        </is>
      </c>
    </row>
    <row r="139">
      <c r="A139" t="n">
        <v>138</v>
      </c>
      <c r="B139" t="inlineStr">
        <is>
          <t>Bengaluru Plant</t>
        </is>
      </c>
      <c r="C139" t="inlineStr">
        <is>
          <t>Assembly</t>
        </is>
      </c>
      <c r="D139" t="inlineStr">
        <is>
          <t>Xiaomi</t>
        </is>
      </c>
      <c r="E139" t="inlineStr">
        <is>
          <t>Smartphone</t>
        </is>
      </c>
      <c r="F139" t="inlineStr">
        <is>
          <t>Redmi 14C</t>
        </is>
      </c>
      <c r="G139" t="inlineStr">
        <is>
          <t>2025-02-06</t>
        </is>
      </c>
      <c r="H139" t="n">
        <v>3951</v>
      </c>
      <c r="I139" t="n">
        <v>3538</v>
      </c>
      <c r="J139" t="n">
        <v>50411</v>
      </c>
      <c r="K139" t="inlineStr">
        <is>
          <t>Pending</t>
        </is>
      </c>
      <c r="L139" t="inlineStr">
        <is>
          <t>In Progress</t>
        </is>
      </c>
    </row>
    <row r="140">
      <c r="A140" t="n">
        <v>139</v>
      </c>
      <c r="B140" t="inlineStr">
        <is>
          <t>Pune Plant</t>
        </is>
      </c>
      <c r="C140" t="inlineStr">
        <is>
          <t>Packaging</t>
        </is>
      </c>
      <c r="D140" t="inlineStr">
        <is>
          <t>Xiaomi</t>
        </is>
      </c>
      <c r="E140" t="inlineStr">
        <is>
          <t>Smartphone</t>
        </is>
      </c>
      <c r="F140" t="inlineStr">
        <is>
          <t>Redmi Note 14</t>
        </is>
      </c>
      <c r="G140" t="inlineStr">
        <is>
          <t>2025-10-29</t>
        </is>
      </c>
      <c r="H140" t="n">
        <v>3763</v>
      </c>
      <c r="I140" t="n">
        <v>2771</v>
      </c>
      <c r="J140" t="n">
        <v>46142</v>
      </c>
      <c r="K140" t="inlineStr">
        <is>
          <t>Pending</t>
        </is>
      </c>
      <c r="L140" t="inlineStr">
        <is>
          <t>In Progress</t>
        </is>
      </c>
    </row>
    <row r="141">
      <c r="A141" t="n">
        <v>140</v>
      </c>
      <c r="B141" t="inlineStr">
        <is>
          <t>Sriperumbudur Plant</t>
        </is>
      </c>
      <c r="C141" t="inlineStr">
        <is>
          <t>Assembly</t>
        </is>
      </c>
      <c r="D141" t="inlineStr">
        <is>
          <t>Xiaomi</t>
        </is>
      </c>
      <c r="E141" t="inlineStr">
        <is>
          <t>Smartphone</t>
        </is>
      </c>
      <c r="F141" t="inlineStr">
        <is>
          <t>Redmi Note 14</t>
        </is>
      </c>
      <c r="G141" t="inlineStr">
        <is>
          <t>2025-06-10</t>
        </is>
      </c>
      <c r="H141" t="n">
        <v>4864</v>
      </c>
      <c r="I141" t="n">
        <v>4417</v>
      </c>
      <c r="J141" t="n">
        <v>76784</v>
      </c>
      <c r="K141" t="inlineStr">
        <is>
          <t>Pending</t>
        </is>
      </c>
      <c r="L141" t="inlineStr">
        <is>
          <t>Completed</t>
        </is>
      </c>
    </row>
    <row r="142">
      <c r="A142" t="n">
        <v>141</v>
      </c>
      <c r="B142" t="inlineStr">
        <is>
          <t>Noida Plant</t>
        </is>
      </c>
      <c r="C142" t="inlineStr">
        <is>
          <t>Manufacturing</t>
        </is>
      </c>
      <c r="D142" t="inlineStr">
        <is>
          <t>Xiaomi</t>
        </is>
      </c>
      <c r="E142" t="inlineStr">
        <is>
          <t>Smartphone</t>
        </is>
      </c>
      <c r="F142" t="inlineStr">
        <is>
          <t>Xiaomi 14</t>
        </is>
      </c>
      <c r="G142" t="inlineStr">
        <is>
          <t>2025-04-24</t>
        </is>
      </c>
      <c r="H142" t="n">
        <v>4670</v>
      </c>
      <c r="I142" t="n">
        <v>4194</v>
      </c>
      <c r="J142" t="n">
        <v>99464</v>
      </c>
      <c r="K142" t="inlineStr">
        <is>
          <t>Shipped</t>
        </is>
      </c>
      <c r="L142" t="inlineStr">
        <is>
          <t>In Progress</t>
        </is>
      </c>
    </row>
    <row r="143">
      <c r="A143" t="n">
        <v>142</v>
      </c>
      <c r="B143" t="inlineStr">
        <is>
          <t>Chennai Plant</t>
        </is>
      </c>
      <c r="C143" t="inlineStr">
        <is>
          <t>Testing</t>
        </is>
      </c>
      <c r="D143" t="inlineStr">
        <is>
          <t>Xiaomi</t>
        </is>
      </c>
      <c r="E143" t="inlineStr">
        <is>
          <t>Smartphone</t>
        </is>
      </c>
      <c r="F143" t="inlineStr">
        <is>
          <t>Xiaomi 14</t>
        </is>
      </c>
      <c r="G143" t="inlineStr">
        <is>
          <t>2025-11-02</t>
        </is>
      </c>
      <c r="H143" t="n">
        <v>3664</v>
      </c>
      <c r="I143" t="n">
        <v>3330</v>
      </c>
      <c r="J143" t="n">
        <v>50573</v>
      </c>
      <c r="K143" t="inlineStr">
        <is>
          <t>Shipped</t>
        </is>
      </c>
      <c r="L143" t="inlineStr">
        <is>
          <t>Completed</t>
        </is>
      </c>
    </row>
    <row r="144">
      <c r="A144" t="n">
        <v>143</v>
      </c>
      <c r="B144" t="inlineStr">
        <is>
          <t>Bengaluru Plant</t>
        </is>
      </c>
      <c r="C144" t="inlineStr">
        <is>
          <t>Testing</t>
        </is>
      </c>
      <c r="D144" t="inlineStr">
        <is>
          <t>xiaomi</t>
        </is>
      </c>
      <c r="E144" t="inlineStr">
        <is>
          <t>Smartphone</t>
        </is>
      </c>
      <c r="F144" t="inlineStr">
        <is>
          <t>Redmi 14C</t>
        </is>
      </c>
      <c r="G144" t="inlineStr">
        <is>
          <t>2025-11-24</t>
        </is>
      </c>
      <c r="H144" t="n">
        <v>1609</v>
      </c>
      <c r="I144" t="n">
        <v>1025</v>
      </c>
      <c r="J144" t="n">
        <v>50293</v>
      </c>
      <c r="K144" t="inlineStr">
        <is>
          <t>In Transit</t>
        </is>
      </c>
      <c r="L144" t="inlineStr">
        <is>
          <t>In Progress</t>
        </is>
      </c>
    </row>
    <row r="145">
      <c r="A145" t="n">
        <v>144</v>
      </c>
      <c r="B145" t="inlineStr">
        <is>
          <t>Bengaluru Plant</t>
        </is>
      </c>
      <c r="C145" t="inlineStr">
        <is>
          <t>Testing</t>
        </is>
      </c>
      <c r="D145" t="inlineStr">
        <is>
          <t>Xiaomi</t>
        </is>
      </c>
      <c r="E145" t="inlineStr">
        <is>
          <t>Smartphone</t>
        </is>
      </c>
      <c r="F145" t="inlineStr">
        <is>
          <t>Redmi 14C</t>
        </is>
      </c>
      <c r="G145" t="inlineStr">
        <is>
          <t>2025-04-23</t>
        </is>
      </c>
      <c r="H145" t="n">
        <v>2953</v>
      </c>
      <c r="I145" t="n">
        <v>1788</v>
      </c>
      <c r="J145" t="n">
        <v>14052</v>
      </c>
      <c r="K145" t="inlineStr">
        <is>
          <t>In Transit</t>
        </is>
      </c>
      <c r="L145" t="inlineStr">
        <is>
          <t>Completed</t>
        </is>
      </c>
    </row>
    <row r="146">
      <c r="A146" t="n">
        <v>145</v>
      </c>
      <c r="B146" t="inlineStr">
        <is>
          <t>Pune Plant</t>
        </is>
      </c>
      <c r="C146" t="inlineStr">
        <is>
          <t>Assembly</t>
        </is>
      </c>
      <c r="D146" t="inlineStr">
        <is>
          <t>Xiaomi</t>
        </is>
      </c>
      <c r="E146" t="inlineStr">
        <is>
          <t>Smartphone</t>
        </is>
      </c>
      <c r="F146" t="inlineStr">
        <is>
          <t>Xiaomi 14</t>
        </is>
      </c>
      <c r="G146" t="inlineStr">
        <is>
          <t>2025-11-27</t>
        </is>
      </c>
      <c r="H146" t="n">
        <v>3477</v>
      </c>
      <c r="I146" t="n">
        <v>3361</v>
      </c>
      <c r="J146" t="n">
        <v>20032</v>
      </c>
      <c r="K146" t="inlineStr">
        <is>
          <t>Pending</t>
        </is>
      </c>
      <c r="L146" t="inlineStr">
        <is>
          <t>In Progress</t>
        </is>
      </c>
    </row>
    <row r="147">
      <c r="A147" t="n">
        <v>146</v>
      </c>
      <c r="B147" t="inlineStr">
        <is>
          <t>Chennai Plant</t>
        </is>
      </c>
      <c r="C147" t="inlineStr">
        <is>
          <t>Packaging</t>
        </is>
      </c>
      <c r="D147" t="inlineStr">
        <is>
          <t>Xiaomi</t>
        </is>
      </c>
      <c r="E147" t="inlineStr">
        <is>
          <t>Smartphone</t>
        </is>
      </c>
      <c r="F147" t="inlineStr">
        <is>
          <t>Xiaomi 14</t>
        </is>
      </c>
      <c r="G147" t="inlineStr">
        <is>
          <t>2025-11-18</t>
        </is>
      </c>
      <c r="H147" t="n">
        <v>2919</v>
      </c>
      <c r="I147" t="n">
        <v>2063</v>
      </c>
      <c r="J147" t="n">
        <v>80956</v>
      </c>
      <c r="K147" t="inlineStr">
        <is>
          <t>Shipped</t>
        </is>
      </c>
      <c r="L147" t="inlineStr">
        <is>
          <t>Completed</t>
        </is>
      </c>
    </row>
    <row r="148">
      <c r="A148" t="n">
        <v>147</v>
      </c>
      <c r="B148" t="inlineStr">
        <is>
          <t>Bengaluru Plant</t>
        </is>
      </c>
      <c r="C148" t="inlineStr">
        <is>
          <t>Assembly</t>
        </is>
      </c>
      <c r="D148" t="inlineStr">
        <is>
          <t>Xiaomi</t>
        </is>
      </c>
      <c r="E148" t="inlineStr">
        <is>
          <t>Smartphone</t>
        </is>
      </c>
      <c r="F148" t="inlineStr">
        <is>
          <t>Xiaomi 14</t>
        </is>
      </c>
      <c r="G148" t="inlineStr">
        <is>
          <t>2025-11-12</t>
        </is>
      </c>
      <c r="H148" t="n">
        <v>1982</v>
      </c>
      <c r="I148" t="n">
        <v>1425</v>
      </c>
      <c r="J148" t="n">
        <v>72858</v>
      </c>
      <c r="K148" t="inlineStr">
        <is>
          <t>In Transit</t>
        </is>
      </c>
      <c r="L148" t="inlineStr">
        <is>
          <t>In Progress</t>
        </is>
      </c>
    </row>
    <row r="149">
      <c r="A149" t="n">
        <v>148</v>
      </c>
      <c r="B149" t="inlineStr">
        <is>
          <t>Pune Plant</t>
        </is>
      </c>
      <c r="C149" t="inlineStr">
        <is>
          <t>Packaging</t>
        </is>
      </c>
      <c r="D149" t="inlineStr">
        <is>
          <t>Xiaomi</t>
        </is>
      </c>
      <c r="E149" t="inlineStr">
        <is>
          <t>Smartphone</t>
        </is>
      </c>
      <c r="F149" t="inlineStr">
        <is>
          <t>Xiaomi 14</t>
        </is>
      </c>
      <c r="G149" t="inlineStr">
        <is>
          <t>2025-03-24</t>
        </is>
      </c>
      <c r="H149" t="n">
        <v>1815</v>
      </c>
      <c r="I149" t="n">
        <v>1488</v>
      </c>
      <c r="J149" t="n">
        <v>18249</v>
      </c>
      <c r="K149" t="inlineStr">
        <is>
          <t>Pending</t>
        </is>
      </c>
      <c r="L149" t="inlineStr">
        <is>
          <t>Completed</t>
        </is>
      </c>
    </row>
    <row r="150">
      <c r="A150" t="n">
        <v>149</v>
      </c>
      <c r="B150" t="inlineStr">
        <is>
          <t>Sriperumbudur Plant</t>
        </is>
      </c>
      <c r="C150" t="inlineStr">
        <is>
          <t>Testing</t>
        </is>
      </c>
      <c r="D150" t="inlineStr">
        <is>
          <t>Xiaomi</t>
        </is>
      </c>
      <c r="E150" t="inlineStr">
        <is>
          <t>Smartphone</t>
        </is>
      </c>
      <c r="F150" t="inlineStr">
        <is>
          <t>Redmi Note 14</t>
        </is>
      </c>
      <c r="G150" t="inlineStr">
        <is>
          <t>2025-05-17</t>
        </is>
      </c>
      <c r="H150" t="n">
        <v>577</v>
      </c>
      <c r="I150" t="n">
        <v>538</v>
      </c>
      <c r="J150" t="n">
        <v>111140</v>
      </c>
      <c r="K150" t="inlineStr">
        <is>
          <t>Shipped</t>
        </is>
      </c>
      <c r="L150" t="inlineStr">
        <is>
          <t>In Progress</t>
        </is>
      </c>
    </row>
    <row r="151">
      <c r="A151" t="n">
        <v>150</v>
      </c>
      <c r="B151" t="inlineStr">
        <is>
          <t>Chennai Plant</t>
        </is>
      </c>
      <c r="C151" t="inlineStr">
        <is>
          <t>Manufacturing</t>
        </is>
      </c>
      <c r="D151" t="inlineStr">
        <is>
          <t>Xiaomi</t>
        </is>
      </c>
      <c r="E151" t="inlineStr">
        <is>
          <t>Smartphone</t>
        </is>
      </c>
      <c r="F151" t="inlineStr">
        <is>
          <t>Redmi Note 14</t>
        </is>
      </c>
      <c r="G151" t="inlineStr">
        <is>
          <t>2025-01-08</t>
        </is>
      </c>
      <c r="H151" t="n">
        <v>1507</v>
      </c>
      <c r="I151" t="n">
        <v>1385</v>
      </c>
      <c r="J151" t="n">
        <v>106313</v>
      </c>
      <c r="K151" t="inlineStr">
        <is>
          <t>Shipped</t>
        </is>
      </c>
      <c r="L151" t="inlineStr">
        <is>
          <t>In Progress</t>
        </is>
      </c>
    </row>
    <row r="152">
      <c r="A152" t="n">
        <v>151</v>
      </c>
      <c r="B152" t="inlineStr">
        <is>
          <t>Sriperumbudur Plant</t>
        </is>
      </c>
      <c r="C152" t="inlineStr">
        <is>
          <t>Assembly</t>
        </is>
      </c>
      <c r="D152" t="inlineStr">
        <is>
          <t>Xiaomi</t>
        </is>
      </c>
      <c r="E152" t="inlineStr">
        <is>
          <t>Smartphone</t>
        </is>
      </c>
      <c r="F152" t="inlineStr">
        <is>
          <t>Redmi Note 14</t>
        </is>
      </c>
      <c r="G152" t="inlineStr">
        <is>
          <t>2025-05-30</t>
        </is>
      </c>
      <c r="H152" t="n">
        <v>1126</v>
      </c>
      <c r="I152" t="n">
        <v>921</v>
      </c>
      <c r="J152" t="n">
        <v>90636</v>
      </c>
      <c r="K152" t="inlineStr">
        <is>
          <t>In Transit</t>
        </is>
      </c>
      <c r="L152" t="inlineStr">
        <is>
          <t>Completed</t>
        </is>
      </c>
    </row>
    <row r="153">
      <c r="A153" t="n">
        <v>152</v>
      </c>
      <c r="B153" t="inlineStr">
        <is>
          <t>Chennai Plant</t>
        </is>
      </c>
      <c r="C153" t="inlineStr">
        <is>
          <t>Assembly</t>
        </is>
      </c>
      <c r="D153" t="inlineStr">
        <is>
          <t>Xiaomi</t>
        </is>
      </c>
      <c r="E153" t="inlineStr">
        <is>
          <t>Smartphone</t>
        </is>
      </c>
      <c r="F153" t="inlineStr">
        <is>
          <t>Redmi Note 14</t>
        </is>
      </c>
      <c r="G153" t="inlineStr">
        <is>
          <t>2025-05-23</t>
        </is>
      </c>
      <c r="H153" t="n">
        <v>2467</v>
      </c>
      <c r="I153" t="n">
        <v>1841</v>
      </c>
      <c r="J153" t="n">
        <v>83528</v>
      </c>
      <c r="K153" t="inlineStr">
        <is>
          <t>In Transit</t>
        </is>
      </c>
      <c r="L153" t="inlineStr">
        <is>
          <t>In Progress</t>
        </is>
      </c>
    </row>
    <row r="154">
      <c r="A154" t="n">
        <v>153</v>
      </c>
      <c r="B154" t="inlineStr">
        <is>
          <t>Pune Plant</t>
        </is>
      </c>
      <c r="C154" t="inlineStr">
        <is>
          <t>Manufacturing</t>
        </is>
      </c>
      <c r="D154" t="inlineStr">
        <is>
          <t>Xiaomi</t>
        </is>
      </c>
      <c r="E154" t="inlineStr">
        <is>
          <t>Smartphone</t>
        </is>
      </c>
      <c r="F154" t="inlineStr">
        <is>
          <t>Redmi Note 14</t>
        </is>
      </c>
      <c r="G154" t="inlineStr">
        <is>
          <t>2025-06-23</t>
        </is>
      </c>
      <c r="H154" t="n">
        <v>2105</v>
      </c>
      <c r="I154" t="n">
        <v>1795</v>
      </c>
      <c r="J154" t="n">
        <v>18928</v>
      </c>
      <c r="K154" t="inlineStr">
        <is>
          <t>Shipped</t>
        </is>
      </c>
      <c r="L154" t="inlineStr">
        <is>
          <t>Completed</t>
        </is>
      </c>
    </row>
    <row r="155">
      <c r="A155" t="n">
        <v>154</v>
      </c>
      <c r="B155" t="inlineStr">
        <is>
          <t>Bengaluru Plant</t>
        </is>
      </c>
      <c r="C155" t="inlineStr">
        <is>
          <t>Assembly</t>
        </is>
      </c>
      <c r="D155" t="inlineStr">
        <is>
          <t>Xiaomi</t>
        </is>
      </c>
      <c r="E155" t="inlineStr">
        <is>
          <t>Smartphone</t>
        </is>
      </c>
      <c r="F155" t="inlineStr">
        <is>
          <t>Xiaomi 14</t>
        </is>
      </c>
      <c r="G155" t="inlineStr">
        <is>
          <t>2025-07-20</t>
        </is>
      </c>
      <c r="H155" t="n">
        <v>4435</v>
      </c>
      <c r="I155" t="n">
        <v>3706</v>
      </c>
      <c r="J155" t="n">
        <v>91068</v>
      </c>
      <c r="K155" t="inlineStr">
        <is>
          <t>Shipped</t>
        </is>
      </c>
      <c r="L155" t="inlineStr">
        <is>
          <t>In Progress</t>
        </is>
      </c>
    </row>
    <row r="156">
      <c r="A156" t="n">
        <v>155</v>
      </c>
      <c r="B156" t="inlineStr">
        <is>
          <t>Bengaluru Plant</t>
        </is>
      </c>
      <c r="C156" t="inlineStr">
        <is>
          <t>Packaging</t>
        </is>
      </c>
      <c r="D156" t="inlineStr">
        <is>
          <t xml:space="preserve"> Xiaomi  </t>
        </is>
      </c>
      <c r="E156" t="inlineStr">
        <is>
          <t>Smartphone</t>
        </is>
      </c>
      <c r="F156" t="inlineStr">
        <is>
          <t>Redmi Note 14</t>
        </is>
      </c>
      <c r="G156" t="inlineStr">
        <is>
          <t>2025-07-15</t>
        </is>
      </c>
      <c r="H156" t="n">
        <v>3987</v>
      </c>
      <c r="I156" t="n">
        <v>2681</v>
      </c>
      <c r="J156" t="n">
        <v>42246</v>
      </c>
      <c r="K156" t="inlineStr">
        <is>
          <t>In Transit</t>
        </is>
      </c>
      <c r="L156" t="inlineStr">
        <is>
          <t>In Progress</t>
        </is>
      </c>
    </row>
    <row r="157">
      <c r="A157" t="n">
        <v>156</v>
      </c>
      <c r="B157" t="inlineStr">
        <is>
          <t>Bengaluru Plant</t>
        </is>
      </c>
      <c r="C157" t="inlineStr">
        <is>
          <t>Testing</t>
        </is>
      </c>
      <c r="D157" t="inlineStr">
        <is>
          <t>Xiaomi</t>
        </is>
      </c>
      <c r="E157" t="inlineStr">
        <is>
          <t>Smartphone</t>
        </is>
      </c>
      <c r="F157" t="inlineStr">
        <is>
          <t>Redmi Note 14</t>
        </is>
      </c>
      <c r="G157" t="inlineStr">
        <is>
          <t>2025-03-01</t>
        </is>
      </c>
      <c r="H157" t="n">
        <v>2469</v>
      </c>
      <c r="I157" t="n">
        <v>1586</v>
      </c>
      <c r="J157" t="n">
        <v>62701</v>
      </c>
      <c r="K157" t="inlineStr">
        <is>
          <t>In Transit</t>
        </is>
      </c>
      <c r="L157" t="inlineStr">
        <is>
          <t>Completed</t>
        </is>
      </c>
    </row>
    <row r="158">
      <c r="A158" t="n">
        <v>156</v>
      </c>
      <c r="B158" t="inlineStr">
        <is>
          <t>Bengaluru Plant</t>
        </is>
      </c>
      <c r="C158" t="inlineStr">
        <is>
          <t>Testing</t>
        </is>
      </c>
      <c r="D158" t="inlineStr">
        <is>
          <t>Xiaomi</t>
        </is>
      </c>
      <c r="E158" t="inlineStr">
        <is>
          <t>Smartphone</t>
        </is>
      </c>
      <c r="F158" t="inlineStr">
        <is>
          <t>Redmi Note 14</t>
        </is>
      </c>
      <c r="G158" t="inlineStr">
        <is>
          <t>2025-03-01</t>
        </is>
      </c>
      <c r="H158" t="n">
        <v>2469</v>
      </c>
      <c r="I158" t="n">
        <v>1586</v>
      </c>
      <c r="J158" t="n">
        <v>62701</v>
      </c>
      <c r="K158" t="inlineStr">
        <is>
          <t>In Transit</t>
        </is>
      </c>
      <c r="L158" t="inlineStr">
        <is>
          <t>Completed</t>
        </is>
      </c>
    </row>
    <row r="159">
      <c r="A159" t="n">
        <v>158</v>
      </c>
      <c r="B159" t="inlineStr">
        <is>
          <t>Chennai Plant</t>
        </is>
      </c>
      <c r="C159" t="inlineStr">
        <is>
          <t>Packaging</t>
        </is>
      </c>
      <c r="D159" t="inlineStr">
        <is>
          <t>Xiaomi</t>
        </is>
      </c>
      <c r="E159" t="inlineStr">
        <is>
          <t>Smartphone</t>
        </is>
      </c>
      <c r="F159" t="inlineStr">
        <is>
          <t>Redmi 14C</t>
        </is>
      </c>
      <c r="G159" t="inlineStr">
        <is>
          <t>2025-01-23</t>
        </is>
      </c>
      <c r="H159" t="n">
        <v>4800</v>
      </c>
      <c r="I159" t="n">
        <v>4688</v>
      </c>
      <c r="J159" t="n">
        <v>33189</v>
      </c>
      <c r="K159" t="inlineStr">
        <is>
          <t>Shipped</t>
        </is>
      </c>
      <c r="L159" t="inlineStr">
        <is>
          <t>Completed</t>
        </is>
      </c>
    </row>
    <row r="160">
      <c r="A160" t="n">
        <v>159</v>
      </c>
      <c r="B160" t="inlineStr">
        <is>
          <t>Pune Plant</t>
        </is>
      </c>
      <c r="C160" t="inlineStr">
        <is>
          <t>Packaging</t>
        </is>
      </c>
      <c r="D160" t="inlineStr">
        <is>
          <t>Xiaomi</t>
        </is>
      </c>
      <c r="E160" t="inlineStr">
        <is>
          <t>Smartphone</t>
        </is>
      </c>
      <c r="F160" t="inlineStr">
        <is>
          <t>Redmi Note 14</t>
        </is>
      </c>
      <c r="G160" t="inlineStr">
        <is>
          <t>2025-05-11</t>
        </is>
      </c>
      <c r="H160" t="n">
        <v>2448</v>
      </c>
      <c r="I160" t="n">
        <v>2096</v>
      </c>
      <c r="J160" t="n">
        <v>82236</v>
      </c>
      <c r="K160" t="inlineStr">
        <is>
          <t>Shipped</t>
        </is>
      </c>
      <c r="L160" t="inlineStr">
        <is>
          <t>In Progress</t>
        </is>
      </c>
    </row>
    <row r="161">
      <c r="A161" t="n">
        <v>160</v>
      </c>
      <c r="B161" t="inlineStr">
        <is>
          <t>Sriperumbudur Plant</t>
        </is>
      </c>
      <c r="C161" t="inlineStr">
        <is>
          <t>Packaging</t>
        </is>
      </c>
      <c r="D161" t="inlineStr">
        <is>
          <t>Xiaomi</t>
        </is>
      </c>
      <c r="E161" t="inlineStr">
        <is>
          <t>Smartphone</t>
        </is>
      </c>
      <c r="F161" t="inlineStr">
        <is>
          <t>Redmi Note 14</t>
        </is>
      </c>
      <c r="G161" t="inlineStr">
        <is>
          <t>2025-10-23</t>
        </is>
      </c>
      <c r="H161" t="n">
        <v>1880</v>
      </c>
      <c r="I161" t="n">
        <v>1443</v>
      </c>
      <c r="J161" t="n">
        <v>34477</v>
      </c>
      <c r="K161" t="inlineStr">
        <is>
          <t>Shipped</t>
        </is>
      </c>
      <c r="L161" t="inlineStr">
        <is>
          <t>Completed</t>
        </is>
      </c>
    </row>
    <row r="162">
      <c r="A162" t="n">
        <v>161</v>
      </c>
      <c r="B162" t="inlineStr">
        <is>
          <t>Bengaluru Plant</t>
        </is>
      </c>
      <c r="C162" t="inlineStr">
        <is>
          <t>Packaging</t>
        </is>
      </c>
      <c r="D162" t="inlineStr">
        <is>
          <t>Xiaomi</t>
        </is>
      </c>
      <c r="E162" t="inlineStr">
        <is>
          <t>Smartphone</t>
        </is>
      </c>
      <c r="F162" t="inlineStr">
        <is>
          <t>Redmi 14C</t>
        </is>
      </c>
      <c r="G162" t="inlineStr">
        <is>
          <t>2025-06-05</t>
        </is>
      </c>
      <c r="H162" t="n">
        <v>4441</v>
      </c>
      <c r="I162" t="n">
        <v>3779</v>
      </c>
      <c r="J162" t="n">
        <v>84177</v>
      </c>
      <c r="K162" t="inlineStr">
        <is>
          <t>In Transit</t>
        </is>
      </c>
      <c r="L162" t="inlineStr">
        <is>
          <t>Completed</t>
        </is>
      </c>
    </row>
    <row r="163">
      <c r="A163" t="n">
        <v>162</v>
      </c>
      <c r="B163" t="inlineStr">
        <is>
          <t>Sriperumbudur Plant</t>
        </is>
      </c>
      <c r="C163" t="inlineStr">
        <is>
          <t>Manufacturing</t>
        </is>
      </c>
      <c r="D163" t="inlineStr">
        <is>
          <t>Xiaomi</t>
        </is>
      </c>
      <c r="E163" t="inlineStr">
        <is>
          <t>Smartphone</t>
        </is>
      </c>
      <c r="F163" t="inlineStr">
        <is>
          <t>Redmi 14C</t>
        </is>
      </c>
      <c r="G163" t="inlineStr">
        <is>
          <t>2025-07-05</t>
        </is>
      </c>
      <c r="H163" t="n">
        <v>558</v>
      </c>
      <c r="I163" t="n">
        <v>445</v>
      </c>
      <c r="J163" t="n">
        <v>21860</v>
      </c>
      <c r="K163" t="inlineStr">
        <is>
          <t>In Transit</t>
        </is>
      </c>
      <c r="L163" t="inlineStr">
        <is>
          <t>In Progress</t>
        </is>
      </c>
    </row>
    <row r="164">
      <c r="A164" t="n">
        <v>163</v>
      </c>
      <c r="B164" t="inlineStr">
        <is>
          <t>Sriperumbudur Plant</t>
        </is>
      </c>
      <c r="C164" t="inlineStr">
        <is>
          <t>Testing</t>
        </is>
      </c>
      <c r="D164" t="inlineStr">
        <is>
          <t>Xiaomi</t>
        </is>
      </c>
      <c r="E164" t="inlineStr">
        <is>
          <t>Smartphone</t>
        </is>
      </c>
      <c r="F164" t="inlineStr">
        <is>
          <t>Xiaomi 14</t>
        </is>
      </c>
      <c r="G164" t="inlineStr">
        <is>
          <t>2025-04-04</t>
        </is>
      </c>
      <c r="H164" t="n">
        <v>4557</v>
      </c>
      <c r="I164" t="n">
        <v>3427</v>
      </c>
      <c r="J164" t="n">
        <v>91070</v>
      </c>
      <c r="K164" t="inlineStr">
        <is>
          <t>Pending</t>
        </is>
      </c>
      <c r="L164" t="inlineStr">
        <is>
          <t>Completed</t>
        </is>
      </c>
    </row>
    <row r="165">
      <c r="A165" t="n">
        <v>164</v>
      </c>
      <c r="B165" t="inlineStr">
        <is>
          <t>Pune Plant</t>
        </is>
      </c>
      <c r="C165" t="inlineStr">
        <is>
          <t>Packaging</t>
        </is>
      </c>
      <c r="D165" t="inlineStr">
        <is>
          <t>Xiaomi</t>
        </is>
      </c>
      <c r="E165" t="inlineStr">
        <is>
          <t>Smartphone</t>
        </is>
      </c>
      <c r="F165" t="inlineStr">
        <is>
          <t>Xiaomi 14</t>
        </is>
      </c>
      <c r="G165" t="inlineStr">
        <is>
          <t>2025-08-01</t>
        </is>
      </c>
      <c r="H165" t="n">
        <v>1804</v>
      </c>
      <c r="I165" t="n">
        <v>1115</v>
      </c>
      <c r="J165" t="n">
        <v>65877</v>
      </c>
      <c r="K165" t="inlineStr">
        <is>
          <t>Pending</t>
        </is>
      </c>
      <c r="L165" t="inlineStr">
        <is>
          <t>Completed</t>
        </is>
      </c>
    </row>
    <row r="166">
      <c r="A166" t="n">
        <v>165</v>
      </c>
      <c r="B166" t="inlineStr">
        <is>
          <t>Sriperumbudur Plant</t>
        </is>
      </c>
      <c r="C166" t="inlineStr">
        <is>
          <t>Assembly</t>
        </is>
      </c>
      <c r="D166" t="inlineStr">
        <is>
          <t>Xiaomi</t>
        </is>
      </c>
      <c r="E166" t="inlineStr">
        <is>
          <t>Smartphone</t>
        </is>
      </c>
      <c r="F166" t="inlineStr">
        <is>
          <t>Redmi Note 14</t>
        </is>
      </c>
      <c r="G166" t="inlineStr">
        <is>
          <t>2025-06-29</t>
        </is>
      </c>
      <c r="H166" t="n">
        <v>1286</v>
      </c>
      <c r="I166" t="n">
        <v>945</v>
      </c>
      <c r="J166" t="n">
        <v>26847</v>
      </c>
      <c r="K166" t="inlineStr">
        <is>
          <t>In Transit</t>
        </is>
      </c>
      <c r="L166" t="inlineStr">
        <is>
          <t>In Progress</t>
        </is>
      </c>
    </row>
    <row r="167">
      <c r="A167" t="n">
        <v>166</v>
      </c>
      <c r="B167" t="inlineStr">
        <is>
          <t>Pune Plant</t>
        </is>
      </c>
      <c r="C167" t="inlineStr">
        <is>
          <t>Manufacturing</t>
        </is>
      </c>
      <c r="D167" t="inlineStr">
        <is>
          <t>Xiaomi</t>
        </is>
      </c>
      <c r="E167" t="inlineStr">
        <is>
          <t>Smartphone</t>
        </is>
      </c>
      <c r="F167" t="inlineStr">
        <is>
          <t>Xiaomi 14</t>
        </is>
      </c>
      <c r="G167" t="inlineStr">
        <is>
          <t>2025-02-28</t>
        </is>
      </c>
      <c r="H167" t="n">
        <v>929</v>
      </c>
      <c r="I167" t="n">
        <v>562</v>
      </c>
      <c r="J167" t="n">
        <v>118246</v>
      </c>
      <c r="K167" t="inlineStr">
        <is>
          <t>Pending</t>
        </is>
      </c>
      <c r="L167" t="inlineStr">
        <is>
          <t>Completed</t>
        </is>
      </c>
    </row>
    <row r="168">
      <c r="A168" t="n">
        <v>167</v>
      </c>
      <c r="B168" t="inlineStr">
        <is>
          <t>Bengaluru Plant</t>
        </is>
      </c>
      <c r="C168" t="inlineStr">
        <is>
          <t>Packaging</t>
        </is>
      </c>
      <c r="D168" t="inlineStr">
        <is>
          <t>Xiaomi</t>
        </is>
      </c>
      <c r="E168" t="inlineStr">
        <is>
          <t>Smartphone</t>
        </is>
      </c>
      <c r="F168" t="inlineStr">
        <is>
          <t>Redmi Note 14</t>
        </is>
      </c>
      <c r="G168" t="inlineStr">
        <is>
          <t>2025-05-29</t>
        </is>
      </c>
      <c r="H168" t="n">
        <v>586</v>
      </c>
      <c r="I168" t="n">
        <v>373</v>
      </c>
      <c r="J168" t="n">
        <v>44789</v>
      </c>
      <c r="K168" t="inlineStr">
        <is>
          <t>In Transit</t>
        </is>
      </c>
      <c r="L168" t="inlineStr">
        <is>
          <t>Completed</t>
        </is>
      </c>
    </row>
    <row r="169">
      <c r="A169" t="n">
        <v>168</v>
      </c>
      <c r="B169" t="inlineStr">
        <is>
          <t>Noida Plant</t>
        </is>
      </c>
      <c r="C169" t="inlineStr">
        <is>
          <t>Testing</t>
        </is>
      </c>
      <c r="D169" t="inlineStr">
        <is>
          <t>Xiaomi</t>
        </is>
      </c>
      <c r="E169" t="inlineStr">
        <is>
          <t>Smartphone</t>
        </is>
      </c>
      <c r="F169" t="inlineStr">
        <is>
          <t>Redmi Note 14</t>
        </is>
      </c>
      <c r="G169" t="inlineStr">
        <is>
          <t>2025-11-08</t>
        </is>
      </c>
      <c r="H169" t="n">
        <v>2607</v>
      </c>
      <c r="I169" t="n">
        <v>2244</v>
      </c>
      <c r="J169" t="n">
        <v>113055</v>
      </c>
      <c r="K169" t="inlineStr">
        <is>
          <t>In Transit</t>
        </is>
      </c>
      <c r="L169" t="inlineStr">
        <is>
          <t>Completed</t>
        </is>
      </c>
    </row>
    <row r="170">
      <c r="A170" t="n">
        <v>169</v>
      </c>
      <c r="B170" t="inlineStr">
        <is>
          <t>Noida Plant</t>
        </is>
      </c>
      <c r="C170" t="inlineStr">
        <is>
          <t>Assembly</t>
        </is>
      </c>
      <c r="D170" t="inlineStr">
        <is>
          <t>Xiaomi</t>
        </is>
      </c>
      <c r="E170" t="inlineStr">
        <is>
          <t>Smartphone</t>
        </is>
      </c>
      <c r="F170" t="inlineStr">
        <is>
          <t>Redmi 14C</t>
        </is>
      </c>
      <c r="G170" t="inlineStr">
        <is>
          <t>2025-08-18</t>
        </is>
      </c>
      <c r="H170" t="n">
        <v>1754</v>
      </c>
      <c r="I170" t="n">
        <v>1173</v>
      </c>
      <c r="J170" t="n">
        <v>88554</v>
      </c>
      <c r="K170" t="inlineStr">
        <is>
          <t>In Transit</t>
        </is>
      </c>
      <c r="L170" t="inlineStr">
        <is>
          <t>Completed</t>
        </is>
      </c>
    </row>
    <row r="171">
      <c r="A171" t="n">
        <v>170</v>
      </c>
      <c r="B171" t="inlineStr">
        <is>
          <t>Chennai Plant</t>
        </is>
      </c>
      <c r="C171" t="inlineStr">
        <is>
          <t>Manufacturing</t>
        </is>
      </c>
      <c r="D171" t="inlineStr">
        <is>
          <t>Xiaomi</t>
        </is>
      </c>
      <c r="E171" t="inlineStr">
        <is>
          <t>Smartphone</t>
        </is>
      </c>
      <c r="F171" t="inlineStr">
        <is>
          <t>Redmi 14C</t>
        </is>
      </c>
      <c r="G171" t="inlineStr">
        <is>
          <t>2025-03-08</t>
        </is>
      </c>
      <c r="H171" t="n">
        <v>726</v>
      </c>
      <c r="I171" t="n">
        <v>489</v>
      </c>
      <c r="J171" t="n">
        <v>16352</v>
      </c>
      <c r="K171" t="inlineStr">
        <is>
          <t>Shipped</t>
        </is>
      </c>
      <c r="L171" t="inlineStr">
        <is>
          <t>In Progress</t>
        </is>
      </c>
    </row>
    <row r="172">
      <c r="A172" t="n">
        <v>171</v>
      </c>
      <c r="B172" t="inlineStr">
        <is>
          <t>Bengaluru Plant</t>
        </is>
      </c>
      <c r="C172" t="inlineStr">
        <is>
          <t>Packaging</t>
        </is>
      </c>
      <c r="D172" t="inlineStr">
        <is>
          <t>Xiaomi</t>
        </is>
      </c>
      <c r="E172" t="inlineStr">
        <is>
          <t>Smartphone</t>
        </is>
      </c>
      <c r="F172" t="inlineStr">
        <is>
          <t>Xiaomi 14</t>
        </is>
      </c>
      <c r="G172" t="inlineStr">
        <is>
          <t>2025-07-03</t>
        </is>
      </c>
      <c r="H172" t="n">
        <v>3436</v>
      </c>
      <c r="I172" t="n">
        <v>2664</v>
      </c>
      <c r="J172" t="n">
        <v>84951</v>
      </c>
      <c r="L172" t="inlineStr">
        <is>
          <t>In Progress</t>
        </is>
      </c>
    </row>
    <row r="173">
      <c r="A173" t="n">
        <v>172</v>
      </c>
      <c r="B173" t="inlineStr">
        <is>
          <t>Noida Plant</t>
        </is>
      </c>
      <c r="C173" t="inlineStr">
        <is>
          <t>Assembly</t>
        </is>
      </c>
      <c r="D173" t="inlineStr">
        <is>
          <t>Xiaomi</t>
        </is>
      </c>
      <c r="E173" t="inlineStr">
        <is>
          <t>Smartphone</t>
        </is>
      </c>
      <c r="F173" t="inlineStr">
        <is>
          <t>Redmi 14C</t>
        </is>
      </c>
      <c r="G173" t="inlineStr">
        <is>
          <t>2025-07-20</t>
        </is>
      </c>
      <c r="H173" t="n">
        <v>3080</v>
      </c>
      <c r="I173" t="n">
        <v>2244</v>
      </c>
      <c r="J173" t="n">
        <v>34392</v>
      </c>
      <c r="K173" t="inlineStr">
        <is>
          <t>Pending</t>
        </is>
      </c>
      <c r="L173" t="inlineStr">
        <is>
          <t>In Progress</t>
        </is>
      </c>
    </row>
    <row r="174">
      <c r="A174" t="n">
        <v>173</v>
      </c>
      <c r="B174" t="inlineStr">
        <is>
          <t>Noida Plant</t>
        </is>
      </c>
      <c r="C174" t="inlineStr">
        <is>
          <t>Assembly</t>
        </is>
      </c>
      <c r="D174" t="inlineStr">
        <is>
          <t>Xiaomi</t>
        </is>
      </c>
      <c r="E174" t="inlineStr">
        <is>
          <t>Smartphone</t>
        </is>
      </c>
      <c r="F174" t="inlineStr">
        <is>
          <t>Xiaomi 14</t>
        </is>
      </c>
      <c r="G174" t="inlineStr">
        <is>
          <t>2025-03-21</t>
        </is>
      </c>
      <c r="H174" t="n">
        <v>1345</v>
      </c>
      <c r="I174" t="n">
        <v>1306</v>
      </c>
      <c r="J174" t="n">
        <v>110744</v>
      </c>
      <c r="K174" t="inlineStr">
        <is>
          <t>Shipped</t>
        </is>
      </c>
      <c r="L174" t="inlineStr">
        <is>
          <t>Completed</t>
        </is>
      </c>
    </row>
    <row r="175">
      <c r="A175" t="n">
        <v>174</v>
      </c>
      <c r="B175" t="inlineStr">
        <is>
          <t>Sriperumbudur Plant</t>
        </is>
      </c>
      <c r="C175" t="inlineStr">
        <is>
          <t>Assembly</t>
        </is>
      </c>
      <c r="D175" t="inlineStr">
        <is>
          <t>Xiaomi</t>
        </is>
      </c>
      <c r="E175" t="inlineStr">
        <is>
          <t>Smartphone</t>
        </is>
      </c>
      <c r="F175" t="inlineStr">
        <is>
          <t>Redmi 14C</t>
        </is>
      </c>
      <c r="G175" t="inlineStr">
        <is>
          <t>2025-06-27</t>
        </is>
      </c>
      <c r="H175" t="n">
        <v>680</v>
      </c>
      <c r="I175" t="n">
        <v>574</v>
      </c>
      <c r="J175" t="n">
        <v>100887</v>
      </c>
      <c r="K175" t="inlineStr">
        <is>
          <t>Pending</t>
        </is>
      </c>
      <c r="L175" t="inlineStr">
        <is>
          <t>Completed</t>
        </is>
      </c>
    </row>
    <row r="176">
      <c r="A176" t="n">
        <v>175</v>
      </c>
      <c r="B176" t="inlineStr">
        <is>
          <t>Noida Plant</t>
        </is>
      </c>
      <c r="C176" t="inlineStr">
        <is>
          <t>Testing</t>
        </is>
      </c>
      <c r="D176" t="inlineStr">
        <is>
          <t>Xiaomi</t>
        </is>
      </c>
      <c r="E176" t="inlineStr">
        <is>
          <t>Smartphone</t>
        </is>
      </c>
      <c r="F176" t="inlineStr">
        <is>
          <t>Redmi Note 14</t>
        </is>
      </c>
      <c r="G176" t="inlineStr">
        <is>
          <t>2025-04-03</t>
        </is>
      </c>
      <c r="H176" t="n">
        <v>2194</v>
      </c>
      <c r="I176" t="n">
        <v>1376</v>
      </c>
      <c r="J176" t="n">
        <v>96396</v>
      </c>
      <c r="K176" t="inlineStr">
        <is>
          <t>In Transit</t>
        </is>
      </c>
      <c r="L176" t="inlineStr">
        <is>
          <t>Completed</t>
        </is>
      </c>
    </row>
    <row r="177">
      <c r="A177" t="n">
        <v>176</v>
      </c>
      <c r="B177" t="inlineStr">
        <is>
          <t>Chennai Plant</t>
        </is>
      </c>
      <c r="C177" t="inlineStr">
        <is>
          <t>Packaging</t>
        </is>
      </c>
      <c r="D177" t="inlineStr">
        <is>
          <t>Xiaomi</t>
        </is>
      </c>
      <c r="E177" t="inlineStr">
        <is>
          <t>Smartphone</t>
        </is>
      </c>
      <c r="F177" t="inlineStr">
        <is>
          <t>Redmi Note 14</t>
        </is>
      </c>
      <c r="G177" t="inlineStr">
        <is>
          <t>2025-11-19</t>
        </is>
      </c>
      <c r="H177" t="n">
        <v>2086</v>
      </c>
      <c r="I177" t="n">
        <v>1491</v>
      </c>
      <c r="J177" t="n">
        <v>76271</v>
      </c>
      <c r="K177" t="inlineStr">
        <is>
          <t>In Transit</t>
        </is>
      </c>
      <c r="L177" t="inlineStr">
        <is>
          <t>Completed</t>
        </is>
      </c>
    </row>
    <row r="178">
      <c r="A178" t="n">
        <v>177</v>
      </c>
      <c r="B178" t="inlineStr">
        <is>
          <t>Noida Plant</t>
        </is>
      </c>
      <c r="C178" t="inlineStr">
        <is>
          <t>Packaging</t>
        </is>
      </c>
      <c r="D178" t="inlineStr">
        <is>
          <t>Xiaomi</t>
        </is>
      </c>
      <c r="E178" t="inlineStr">
        <is>
          <t>Smartphone</t>
        </is>
      </c>
      <c r="F178" t="inlineStr">
        <is>
          <t>Redmi Note 14</t>
        </is>
      </c>
      <c r="G178" t="inlineStr">
        <is>
          <t>2025-08-09</t>
        </is>
      </c>
      <c r="H178" t="n">
        <v>4696</v>
      </c>
      <c r="I178" t="n">
        <v>3936</v>
      </c>
      <c r="J178" t="n">
        <v>55478</v>
      </c>
      <c r="K178" t="inlineStr">
        <is>
          <t>Shipped</t>
        </is>
      </c>
      <c r="L178" t="inlineStr">
        <is>
          <t>In Progress</t>
        </is>
      </c>
    </row>
    <row r="179">
      <c r="A179" t="n">
        <v>178</v>
      </c>
      <c r="B179" t="inlineStr">
        <is>
          <t>Sriperumbudur Plant</t>
        </is>
      </c>
      <c r="C179" t="inlineStr">
        <is>
          <t>Testing</t>
        </is>
      </c>
      <c r="D179" t="inlineStr">
        <is>
          <t>Xiaomi</t>
        </is>
      </c>
      <c r="E179" t="inlineStr">
        <is>
          <t>Smartphone</t>
        </is>
      </c>
      <c r="F179" t="inlineStr">
        <is>
          <t>Xiaomi 14</t>
        </is>
      </c>
      <c r="G179" t="inlineStr">
        <is>
          <t>2025-05-22</t>
        </is>
      </c>
      <c r="H179" t="n">
        <v>3571</v>
      </c>
      <c r="I179" t="n">
        <v>2840</v>
      </c>
      <c r="J179" t="n">
        <v>21100</v>
      </c>
      <c r="K179" t="inlineStr">
        <is>
          <t>In Transit</t>
        </is>
      </c>
      <c r="L179" t="inlineStr">
        <is>
          <t>In Progress</t>
        </is>
      </c>
    </row>
    <row r="180">
      <c r="A180" t="n">
        <v>179</v>
      </c>
      <c r="B180" t="inlineStr">
        <is>
          <t>Bengaluru Plant</t>
        </is>
      </c>
      <c r="C180" t="inlineStr">
        <is>
          <t>Packaging</t>
        </is>
      </c>
      <c r="D180" t="inlineStr">
        <is>
          <t>Xiaomi</t>
        </is>
      </c>
      <c r="E180" t="inlineStr">
        <is>
          <t>Smartphone</t>
        </is>
      </c>
      <c r="F180" t="inlineStr">
        <is>
          <t>Xiaomi 14</t>
        </is>
      </c>
      <c r="G180" t="inlineStr">
        <is>
          <t>2025-08-21</t>
        </is>
      </c>
      <c r="H180" t="n">
        <v>1696</v>
      </c>
      <c r="I180" t="n">
        <v>1514</v>
      </c>
      <c r="J180" t="n">
        <v>52539</v>
      </c>
      <c r="K180" t="inlineStr">
        <is>
          <t>In Transit</t>
        </is>
      </c>
      <c r="L180" t="inlineStr">
        <is>
          <t>Completed</t>
        </is>
      </c>
    </row>
    <row r="181">
      <c r="A181" t="n">
        <v>179</v>
      </c>
      <c r="B181" t="inlineStr">
        <is>
          <t>Bengaluru Plant</t>
        </is>
      </c>
      <c r="C181" t="inlineStr">
        <is>
          <t>Packaging</t>
        </is>
      </c>
      <c r="D181" t="inlineStr">
        <is>
          <t>Xiaomi</t>
        </is>
      </c>
      <c r="E181" t="inlineStr">
        <is>
          <t>Smartphone</t>
        </is>
      </c>
      <c r="F181" t="inlineStr">
        <is>
          <t>Xiaomi 14</t>
        </is>
      </c>
      <c r="G181" t="inlineStr">
        <is>
          <t>2025-08-21</t>
        </is>
      </c>
      <c r="H181" t="n">
        <v>1696</v>
      </c>
      <c r="I181" t="n">
        <v>1514</v>
      </c>
      <c r="J181" t="n">
        <v>52539</v>
      </c>
      <c r="K181" t="inlineStr">
        <is>
          <t>In Transit</t>
        </is>
      </c>
      <c r="L181" t="inlineStr">
        <is>
          <t>Completed</t>
        </is>
      </c>
    </row>
    <row r="182">
      <c r="A182" t="n">
        <v>181</v>
      </c>
      <c r="B182" t="inlineStr">
        <is>
          <t>Chennai Plant</t>
        </is>
      </c>
      <c r="C182" t="inlineStr">
        <is>
          <t>Packaging</t>
        </is>
      </c>
      <c r="D182" t="inlineStr">
        <is>
          <t>Vivo</t>
        </is>
      </c>
      <c r="E182" t="inlineStr">
        <is>
          <t>Smartphone</t>
        </is>
      </c>
      <c r="F182" t="inlineStr">
        <is>
          <t>Vivo Y300</t>
        </is>
      </c>
      <c r="G182" t="inlineStr">
        <is>
          <t>2025-02-09</t>
        </is>
      </c>
      <c r="H182" t="n">
        <v>3051</v>
      </c>
      <c r="I182" t="n">
        <v>2899</v>
      </c>
      <c r="J182" t="n">
        <v>113690</v>
      </c>
      <c r="K182" t="inlineStr">
        <is>
          <t>Pending</t>
        </is>
      </c>
      <c r="L182" t="inlineStr">
        <is>
          <t>In Progress</t>
        </is>
      </c>
    </row>
    <row r="183">
      <c r="A183" t="n">
        <v>182</v>
      </c>
      <c r="B183" t="inlineStr">
        <is>
          <t>Pune Plant</t>
        </is>
      </c>
      <c r="C183" t="inlineStr">
        <is>
          <t>Manufacturing</t>
        </is>
      </c>
      <c r="D183" t="inlineStr">
        <is>
          <t>Vivo</t>
        </is>
      </c>
      <c r="E183" t="inlineStr">
        <is>
          <t>Smartphone</t>
        </is>
      </c>
      <c r="F183" t="inlineStr">
        <is>
          <t>Vivo Y300</t>
        </is>
      </c>
      <c r="G183" t="inlineStr">
        <is>
          <t>2025-06-14</t>
        </is>
      </c>
      <c r="H183" t="n">
        <v>2744</v>
      </c>
      <c r="I183" t="n">
        <v>1957</v>
      </c>
      <c r="J183" t="n">
        <v>13454</v>
      </c>
      <c r="K183" t="inlineStr">
        <is>
          <t>Shipped</t>
        </is>
      </c>
      <c r="L183" t="inlineStr">
        <is>
          <t>Completed</t>
        </is>
      </c>
    </row>
    <row r="184">
      <c r="A184" t="n">
        <v>183</v>
      </c>
      <c r="B184" t="inlineStr">
        <is>
          <t>Pune Plant</t>
        </is>
      </c>
      <c r="C184" t="inlineStr">
        <is>
          <t>Assembly</t>
        </is>
      </c>
      <c r="D184" t="inlineStr">
        <is>
          <t>Vivo</t>
        </is>
      </c>
      <c r="E184" t="inlineStr">
        <is>
          <t>Smartphone</t>
        </is>
      </c>
      <c r="F184" t="inlineStr">
        <is>
          <t>Vivo Y300</t>
        </is>
      </c>
      <c r="G184" t="inlineStr">
        <is>
          <t>2025-09-01</t>
        </is>
      </c>
      <c r="H184" t="n">
        <v>3673</v>
      </c>
      <c r="I184" t="n">
        <v>2308</v>
      </c>
      <c r="J184" t="n">
        <v>23775</v>
      </c>
      <c r="K184" t="inlineStr">
        <is>
          <t>Shipped</t>
        </is>
      </c>
      <c r="L184" t="inlineStr">
        <is>
          <t>Completed</t>
        </is>
      </c>
    </row>
    <row r="185">
      <c r="A185" t="n">
        <v>184</v>
      </c>
      <c r="B185" t="inlineStr">
        <is>
          <t>Pune Plant</t>
        </is>
      </c>
      <c r="C185" t="inlineStr">
        <is>
          <t>Assembly</t>
        </is>
      </c>
      <c r="D185" t="inlineStr">
        <is>
          <t>Vivo</t>
        </is>
      </c>
      <c r="E185" t="inlineStr">
        <is>
          <t>Smartphone</t>
        </is>
      </c>
      <c r="F185" t="inlineStr">
        <is>
          <t>Vivo Y300</t>
        </is>
      </c>
      <c r="G185" t="inlineStr">
        <is>
          <t>2025-11-20</t>
        </is>
      </c>
      <c r="H185" t="n">
        <v>3015</v>
      </c>
      <c r="I185" t="n">
        <v>2486</v>
      </c>
      <c r="J185" t="n">
        <v>93634</v>
      </c>
      <c r="K185" t="inlineStr">
        <is>
          <t>Shipped</t>
        </is>
      </c>
      <c r="L185" t="inlineStr">
        <is>
          <t>In Progress</t>
        </is>
      </c>
    </row>
    <row r="186">
      <c r="A186" t="n">
        <v>185</v>
      </c>
      <c r="B186" t="inlineStr">
        <is>
          <t>Bengaluru Plant</t>
        </is>
      </c>
      <c r="C186" t="inlineStr">
        <is>
          <t>Packaging</t>
        </is>
      </c>
      <c r="D186" t="inlineStr">
        <is>
          <t>Vivo</t>
        </is>
      </c>
      <c r="E186" t="inlineStr">
        <is>
          <t>Smartphone</t>
        </is>
      </c>
      <c r="F186" t="inlineStr">
        <is>
          <t>Vivo T3</t>
        </is>
      </c>
      <c r="G186" t="inlineStr">
        <is>
          <t>2025-02-12</t>
        </is>
      </c>
      <c r="H186" t="n">
        <v>2950</v>
      </c>
      <c r="I186" t="n">
        <v>2367</v>
      </c>
      <c r="J186" t="n">
        <v>62144</v>
      </c>
      <c r="K186" t="inlineStr">
        <is>
          <t>Pending</t>
        </is>
      </c>
      <c r="L186" t="inlineStr">
        <is>
          <t>In Progress</t>
        </is>
      </c>
    </row>
    <row r="187">
      <c r="A187" t="n">
        <v>186</v>
      </c>
      <c r="B187" t="inlineStr">
        <is>
          <t>Chennai Plant</t>
        </is>
      </c>
      <c r="C187" t="inlineStr">
        <is>
          <t>Manufacturing</t>
        </is>
      </c>
      <c r="D187" t="inlineStr">
        <is>
          <t>Vivo</t>
        </is>
      </c>
      <c r="E187" t="inlineStr">
        <is>
          <t>Smartphone</t>
        </is>
      </c>
      <c r="F187" t="inlineStr">
        <is>
          <t>Vivo V40</t>
        </is>
      </c>
      <c r="G187" t="inlineStr">
        <is>
          <t>2025-04-19</t>
        </is>
      </c>
      <c r="H187" t="n">
        <v>1190</v>
      </c>
      <c r="I187" t="n">
        <v>1076</v>
      </c>
      <c r="J187" t="n">
        <v>104079</v>
      </c>
      <c r="K187" t="inlineStr">
        <is>
          <t>Shipped</t>
        </is>
      </c>
      <c r="L187" t="inlineStr">
        <is>
          <t>Completed</t>
        </is>
      </c>
    </row>
    <row r="188">
      <c r="A188" t="n">
        <v>187</v>
      </c>
      <c r="B188" t="inlineStr">
        <is>
          <t>Sriperumbudur Plant</t>
        </is>
      </c>
      <c r="C188" t="inlineStr">
        <is>
          <t>Testing</t>
        </is>
      </c>
      <c r="D188" t="inlineStr">
        <is>
          <t>Vivo</t>
        </is>
      </c>
      <c r="E188" t="inlineStr">
        <is>
          <t>Smartphone</t>
        </is>
      </c>
      <c r="F188" t="inlineStr">
        <is>
          <t>Vivo T3</t>
        </is>
      </c>
      <c r="G188" t="inlineStr">
        <is>
          <t>2025-10-15</t>
        </is>
      </c>
      <c r="H188" t="n">
        <v>4589</v>
      </c>
      <c r="I188" t="n">
        <v>3185</v>
      </c>
      <c r="J188" t="n">
        <v>114087</v>
      </c>
      <c r="K188" t="inlineStr">
        <is>
          <t>In Transit</t>
        </is>
      </c>
      <c r="L188" t="inlineStr">
        <is>
          <t>Completed</t>
        </is>
      </c>
    </row>
    <row r="189">
      <c r="A189" t="n">
        <v>188</v>
      </c>
      <c r="B189" t="inlineStr">
        <is>
          <t>Bengaluru Plant</t>
        </is>
      </c>
      <c r="C189" t="inlineStr">
        <is>
          <t>Manufacturing</t>
        </is>
      </c>
      <c r="D189" t="inlineStr">
        <is>
          <t>Vivo</t>
        </is>
      </c>
      <c r="E189" t="inlineStr">
        <is>
          <t>Smartphone</t>
        </is>
      </c>
      <c r="F189" t="inlineStr">
        <is>
          <t>Vivo Y300</t>
        </is>
      </c>
      <c r="G189" t="inlineStr">
        <is>
          <t>2025-03-20</t>
        </is>
      </c>
      <c r="H189" t="n">
        <v>2943</v>
      </c>
      <c r="I189" t="n">
        <v>2570</v>
      </c>
      <c r="J189" t="n">
        <v>29550</v>
      </c>
      <c r="K189" t="inlineStr">
        <is>
          <t>Pending</t>
        </is>
      </c>
      <c r="L189" t="inlineStr">
        <is>
          <t>Completed</t>
        </is>
      </c>
    </row>
    <row r="190">
      <c r="A190" t="n">
        <v>189</v>
      </c>
      <c r="B190" t="inlineStr">
        <is>
          <t>Sriperumbudur Plant</t>
        </is>
      </c>
      <c r="C190" t="inlineStr">
        <is>
          <t>Testing</t>
        </is>
      </c>
      <c r="D190" t="inlineStr">
        <is>
          <t>Vivo</t>
        </is>
      </c>
      <c r="E190" t="inlineStr">
        <is>
          <t>Smartphone</t>
        </is>
      </c>
      <c r="F190" t="inlineStr">
        <is>
          <t>Vivo V40</t>
        </is>
      </c>
      <c r="G190" t="inlineStr">
        <is>
          <t>2025-10-22</t>
        </is>
      </c>
      <c r="H190" t="n">
        <v>3188</v>
      </c>
      <c r="I190" t="n">
        <v>2751</v>
      </c>
      <c r="J190" t="n">
        <v>36996</v>
      </c>
      <c r="K190" t="inlineStr">
        <is>
          <t>In Transit</t>
        </is>
      </c>
      <c r="L190" t="inlineStr">
        <is>
          <t>Completed</t>
        </is>
      </c>
    </row>
    <row r="191">
      <c r="A191" t="n">
        <v>190</v>
      </c>
      <c r="B191" t="inlineStr">
        <is>
          <t>Noida Plant</t>
        </is>
      </c>
      <c r="C191" t="inlineStr">
        <is>
          <t>Testing</t>
        </is>
      </c>
      <c r="D191" t="inlineStr">
        <is>
          <t xml:space="preserve"> Vivo  </t>
        </is>
      </c>
      <c r="E191" t="inlineStr">
        <is>
          <t>Smartphone</t>
        </is>
      </c>
      <c r="F191" t="inlineStr">
        <is>
          <t>Vivo T3</t>
        </is>
      </c>
      <c r="G191" t="inlineStr">
        <is>
          <t>2025-11-22</t>
        </is>
      </c>
      <c r="H191" t="n">
        <v>4063</v>
      </c>
      <c r="I191" t="n">
        <v>3521</v>
      </c>
      <c r="J191" t="n">
        <v>80081</v>
      </c>
      <c r="K191" t="inlineStr">
        <is>
          <t>Shipped</t>
        </is>
      </c>
      <c r="L191" t="inlineStr">
        <is>
          <t>In Progress</t>
        </is>
      </c>
    </row>
    <row r="192">
      <c r="A192" t="n">
        <v>191</v>
      </c>
      <c r="B192" t="inlineStr">
        <is>
          <t>Pune Plant</t>
        </is>
      </c>
      <c r="C192" t="inlineStr">
        <is>
          <t>Manufacturing</t>
        </is>
      </c>
      <c r="D192" t="inlineStr">
        <is>
          <t>Vivo</t>
        </is>
      </c>
      <c r="E192" t="inlineStr">
        <is>
          <t>Smartphone</t>
        </is>
      </c>
      <c r="F192" t="inlineStr">
        <is>
          <t>Vivo V40</t>
        </is>
      </c>
      <c r="G192" t="inlineStr">
        <is>
          <t>2025-09-10</t>
        </is>
      </c>
      <c r="H192" t="n">
        <v>1545</v>
      </c>
      <c r="I192" t="n">
        <v>962</v>
      </c>
      <c r="J192" t="n">
        <v>89716</v>
      </c>
      <c r="K192" t="inlineStr">
        <is>
          <t>Pending</t>
        </is>
      </c>
      <c r="L192" t="inlineStr">
        <is>
          <t>In Progress</t>
        </is>
      </c>
    </row>
    <row r="193">
      <c r="A193" t="n">
        <v>192</v>
      </c>
      <c r="B193" t="inlineStr">
        <is>
          <t>Chennai Plant</t>
        </is>
      </c>
      <c r="C193" t="inlineStr">
        <is>
          <t>Packaging</t>
        </is>
      </c>
      <c r="D193" t="inlineStr">
        <is>
          <t>Vivo</t>
        </is>
      </c>
      <c r="E193" t="inlineStr">
        <is>
          <t>Smartphone</t>
        </is>
      </c>
      <c r="F193" t="inlineStr">
        <is>
          <t>Vivo Y300</t>
        </is>
      </c>
      <c r="G193" t="inlineStr">
        <is>
          <t>2025-01-23</t>
        </is>
      </c>
      <c r="H193" t="n">
        <v>3801</v>
      </c>
      <c r="I193" t="n">
        <v>3265</v>
      </c>
      <c r="J193" t="n">
        <v>48465</v>
      </c>
      <c r="K193" t="inlineStr">
        <is>
          <t>Pending</t>
        </is>
      </c>
      <c r="L193" t="inlineStr">
        <is>
          <t>Completed</t>
        </is>
      </c>
    </row>
    <row r="194">
      <c r="A194" t="n">
        <v>193</v>
      </c>
      <c r="B194" t="inlineStr">
        <is>
          <t>Bengaluru Plant</t>
        </is>
      </c>
      <c r="C194" t="inlineStr">
        <is>
          <t>Packaging</t>
        </is>
      </c>
      <c r="D194" t="inlineStr">
        <is>
          <t>Vivo</t>
        </is>
      </c>
      <c r="E194" t="inlineStr">
        <is>
          <t>Smartphone</t>
        </is>
      </c>
      <c r="F194" t="inlineStr">
        <is>
          <t>Vivo V40</t>
        </is>
      </c>
      <c r="G194" t="inlineStr">
        <is>
          <t>2025-05-22</t>
        </is>
      </c>
      <c r="H194" t="n">
        <v>2746</v>
      </c>
      <c r="I194" t="n">
        <v>2250</v>
      </c>
      <c r="J194" t="n">
        <v>38467</v>
      </c>
      <c r="K194" t="inlineStr">
        <is>
          <t>Pending</t>
        </is>
      </c>
      <c r="L194" t="inlineStr">
        <is>
          <t>Completed</t>
        </is>
      </c>
    </row>
    <row r="195">
      <c r="A195" t="n">
        <v>194</v>
      </c>
      <c r="B195" t="inlineStr">
        <is>
          <t>Pune Plant</t>
        </is>
      </c>
      <c r="C195" t="inlineStr">
        <is>
          <t>Testing</t>
        </is>
      </c>
      <c r="D195" t="inlineStr">
        <is>
          <t>Vivo</t>
        </is>
      </c>
      <c r="E195" t="inlineStr">
        <is>
          <t>Smartphone</t>
        </is>
      </c>
      <c r="F195" t="inlineStr">
        <is>
          <t>Vivo T3</t>
        </is>
      </c>
      <c r="G195" t="inlineStr">
        <is>
          <t>2025-05-28</t>
        </is>
      </c>
      <c r="H195" t="n">
        <v>1048</v>
      </c>
      <c r="I195" t="n">
        <v>695</v>
      </c>
      <c r="J195" t="n">
        <v>80735</v>
      </c>
      <c r="K195" t="inlineStr">
        <is>
          <t>Shipped</t>
        </is>
      </c>
      <c r="L195" t="inlineStr">
        <is>
          <t>In Progress</t>
        </is>
      </c>
    </row>
    <row r="196">
      <c r="A196" t="n">
        <v>195</v>
      </c>
      <c r="B196" t="inlineStr">
        <is>
          <t>Noida Plant</t>
        </is>
      </c>
      <c r="C196" t="inlineStr">
        <is>
          <t>Assembly</t>
        </is>
      </c>
      <c r="D196" t="inlineStr">
        <is>
          <t>Vivo</t>
        </is>
      </c>
      <c r="E196" t="inlineStr">
        <is>
          <t>Smartphone</t>
        </is>
      </c>
      <c r="F196" t="inlineStr">
        <is>
          <t>Vivo Y300</t>
        </is>
      </c>
      <c r="G196" t="inlineStr">
        <is>
          <t>2025-10-06</t>
        </is>
      </c>
      <c r="H196" t="n">
        <v>4570</v>
      </c>
      <c r="I196" t="n">
        <v>4118</v>
      </c>
      <c r="J196" t="n">
        <v>68963</v>
      </c>
      <c r="K196" t="inlineStr">
        <is>
          <t>In Transit</t>
        </is>
      </c>
      <c r="L196" t="inlineStr">
        <is>
          <t>In Progress</t>
        </is>
      </c>
    </row>
    <row r="197">
      <c r="A197" t="n">
        <v>196</v>
      </c>
      <c r="B197" t="inlineStr">
        <is>
          <t>Noida Plant</t>
        </is>
      </c>
      <c r="C197" t="inlineStr">
        <is>
          <t>Testing</t>
        </is>
      </c>
      <c r="D197" t="inlineStr">
        <is>
          <t>Vivo</t>
        </is>
      </c>
      <c r="E197" t="inlineStr">
        <is>
          <t>Smartphone</t>
        </is>
      </c>
      <c r="F197" t="inlineStr">
        <is>
          <t>Vivo V40</t>
        </is>
      </c>
      <c r="G197" t="inlineStr">
        <is>
          <t>2025-05-03</t>
        </is>
      </c>
      <c r="H197" t="n">
        <v>1443</v>
      </c>
      <c r="I197" t="n">
        <v>1387</v>
      </c>
      <c r="J197" t="n">
        <v>25479</v>
      </c>
      <c r="K197" t="inlineStr">
        <is>
          <t>Shipped</t>
        </is>
      </c>
      <c r="L197" t="inlineStr">
        <is>
          <t>Completed</t>
        </is>
      </c>
    </row>
    <row r="198">
      <c r="A198" t="n">
        <v>197</v>
      </c>
      <c r="B198" t="inlineStr">
        <is>
          <t>Pune Plant</t>
        </is>
      </c>
      <c r="C198" t="inlineStr">
        <is>
          <t>Manufacturing</t>
        </is>
      </c>
      <c r="D198" t="inlineStr">
        <is>
          <t>Vivo</t>
        </is>
      </c>
      <c r="E198" t="inlineStr">
        <is>
          <t>Smartphone</t>
        </is>
      </c>
      <c r="F198" t="inlineStr">
        <is>
          <t>Vivo T3</t>
        </is>
      </c>
      <c r="G198" t="inlineStr">
        <is>
          <t>2025-01-23</t>
        </is>
      </c>
      <c r="H198" t="n">
        <v>3240</v>
      </c>
      <c r="I198" t="n">
        <v>2197</v>
      </c>
      <c r="J198" t="n">
        <v>34365</v>
      </c>
      <c r="K198" t="inlineStr">
        <is>
          <t>Shipped</t>
        </is>
      </c>
      <c r="L198" t="inlineStr">
        <is>
          <t>In Progress</t>
        </is>
      </c>
    </row>
    <row r="199">
      <c r="A199" t="n">
        <v>198</v>
      </c>
      <c r="B199" t="inlineStr">
        <is>
          <t>Pune Plant</t>
        </is>
      </c>
      <c r="C199" t="inlineStr">
        <is>
          <t>Testing</t>
        </is>
      </c>
      <c r="D199" t="inlineStr">
        <is>
          <t>Vivo</t>
        </is>
      </c>
      <c r="E199" t="inlineStr">
        <is>
          <t>Smartphone</t>
        </is>
      </c>
      <c r="F199" t="inlineStr">
        <is>
          <t>Vivo V40</t>
        </is>
      </c>
      <c r="G199" t="inlineStr">
        <is>
          <t>2025-08-29</t>
        </is>
      </c>
      <c r="H199" t="n">
        <v>4735</v>
      </c>
      <c r="I199" t="n">
        <v>3744</v>
      </c>
      <c r="J199" t="n">
        <v>39564</v>
      </c>
      <c r="K199" t="inlineStr">
        <is>
          <t>Pending</t>
        </is>
      </c>
      <c r="L199" t="inlineStr">
        <is>
          <t>Completed</t>
        </is>
      </c>
    </row>
    <row r="200">
      <c r="A200" t="n">
        <v>199</v>
      </c>
      <c r="B200" t="inlineStr">
        <is>
          <t>Pune Plant</t>
        </is>
      </c>
      <c r="C200" t="inlineStr">
        <is>
          <t>Testing</t>
        </is>
      </c>
      <c r="D200" t="inlineStr">
        <is>
          <t>Vivo</t>
        </is>
      </c>
      <c r="E200" t="inlineStr">
        <is>
          <t>Smartphone</t>
        </is>
      </c>
      <c r="F200" t="inlineStr">
        <is>
          <t>Vivo Y300</t>
        </is>
      </c>
      <c r="G200" t="inlineStr">
        <is>
          <t>2025-04-18</t>
        </is>
      </c>
      <c r="H200" t="n">
        <v>4292</v>
      </c>
      <c r="I200" t="n">
        <v>3141</v>
      </c>
      <c r="J200" t="n">
        <v>20220</v>
      </c>
      <c r="K200" t="inlineStr">
        <is>
          <t>In Transit</t>
        </is>
      </c>
      <c r="L200" t="inlineStr">
        <is>
          <t>Completed</t>
        </is>
      </c>
    </row>
    <row r="201">
      <c r="A201" t="n">
        <v>200</v>
      </c>
      <c r="B201" t="inlineStr">
        <is>
          <t>Bengaluru Plant</t>
        </is>
      </c>
      <c r="C201" t="inlineStr">
        <is>
          <t>Assembly</t>
        </is>
      </c>
      <c r="D201" t="inlineStr">
        <is>
          <t>Vivo</t>
        </is>
      </c>
      <c r="E201" t="inlineStr">
        <is>
          <t>Smartphone</t>
        </is>
      </c>
      <c r="F201" t="inlineStr">
        <is>
          <t>Vivo Y300</t>
        </is>
      </c>
      <c r="G201" t="inlineStr">
        <is>
          <t>2025-06-03</t>
        </is>
      </c>
      <c r="H201" t="n">
        <v>4189</v>
      </c>
      <c r="I201" t="n">
        <v>3863</v>
      </c>
      <c r="J201" t="n">
        <v>117692</v>
      </c>
      <c r="K201" t="inlineStr">
        <is>
          <t>Shipped</t>
        </is>
      </c>
      <c r="L201" t="inlineStr">
        <is>
          <t>In Progress</t>
        </is>
      </c>
    </row>
    <row r="202">
      <c r="A202" t="n">
        <v>201</v>
      </c>
      <c r="B202" t="inlineStr">
        <is>
          <t>Bengaluru Plant</t>
        </is>
      </c>
      <c r="C202" t="inlineStr">
        <is>
          <t>Assembly</t>
        </is>
      </c>
      <c r="D202" t="inlineStr">
        <is>
          <t>Vivo</t>
        </is>
      </c>
      <c r="E202" t="inlineStr">
        <is>
          <t>Smartphone</t>
        </is>
      </c>
      <c r="F202" t="inlineStr">
        <is>
          <t>Vivo T3</t>
        </is>
      </c>
      <c r="G202" t="inlineStr">
        <is>
          <t>2025-07-29</t>
        </is>
      </c>
      <c r="H202" t="n">
        <v>1353</v>
      </c>
      <c r="I202" t="n">
        <v>926</v>
      </c>
      <c r="J202" t="n">
        <v>79793</v>
      </c>
      <c r="K202" t="inlineStr">
        <is>
          <t>Pending</t>
        </is>
      </c>
      <c r="L202" t="inlineStr">
        <is>
          <t>Completed</t>
        </is>
      </c>
    </row>
    <row r="203">
      <c r="A203" t="n">
        <v>202</v>
      </c>
      <c r="B203" t="inlineStr">
        <is>
          <t>Pune Plant</t>
        </is>
      </c>
      <c r="C203" t="inlineStr">
        <is>
          <t>Testing</t>
        </is>
      </c>
      <c r="D203" t="inlineStr">
        <is>
          <t>Vivo</t>
        </is>
      </c>
      <c r="E203" t="inlineStr">
        <is>
          <t>Smartphone</t>
        </is>
      </c>
      <c r="F203" t="inlineStr">
        <is>
          <t>Vivo V40</t>
        </is>
      </c>
      <c r="G203" t="inlineStr">
        <is>
          <t>2025-06-17</t>
        </is>
      </c>
      <c r="H203" t="n">
        <v>2434</v>
      </c>
      <c r="I203" t="n">
        <v>1794</v>
      </c>
      <c r="J203" t="n">
        <v>43609</v>
      </c>
      <c r="K203" t="inlineStr">
        <is>
          <t>In Transit</t>
        </is>
      </c>
      <c r="L203" t="inlineStr">
        <is>
          <t>Completed</t>
        </is>
      </c>
    </row>
    <row r="204">
      <c r="A204" t="n">
        <v>203</v>
      </c>
      <c r="B204" t="inlineStr">
        <is>
          <t>Noida Plant</t>
        </is>
      </c>
      <c r="C204" t="inlineStr">
        <is>
          <t>Testing</t>
        </is>
      </c>
      <c r="D204" t="inlineStr">
        <is>
          <t>Vivo</t>
        </is>
      </c>
      <c r="E204" t="inlineStr">
        <is>
          <t>Smartphone</t>
        </is>
      </c>
      <c r="F204" t="inlineStr">
        <is>
          <t>Vivo V40</t>
        </is>
      </c>
      <c r="G204" t="inlineStr">
        <is>
          <t>2025-06-05</t>
        </is>
      </c>
      <c r="H204" t="n">
        <v>1406</v>
      </c>
      <c r="I204" t="n">
        <v>954</v>
      </c>
      <c r="J204" t="n">
        <v>112622</v>
      </c>
      <c r="K204" t="inlineStr">
        <is>
          <t>Shipped</t>
        </is>
      </c>
      <c r="L204" t="inlineStr">
        <is>
          <t>Completed</t>
        </is>
      </c>
    </row>
    <row r="205">
      <c r="A205" t="n">
        <v>204</v>
      </c>
      <c r="B205" t="inlineStr">
        <is>
          <t>Sriperumbudur Plant</t>
        </is>
      </c>
      <c r="C205" t="inlineStr">
        <is>
          <t>Packaging</t>
        </is>
      </c>
      <c r="D205" t="inlineStr">
        <is>
          <t>Vivo</t>
        </is>
      </c>
      <c r="E205" t="inlineStr">
        <is>
          <t>Smartphone</t>
        </is>
      </c>
      <c r="F205" t="inlineStr">
        <is>
          <t>Vivo T3</t>
        </is>
      </c>
      <c r="G205" t="inlineStr">
        <is>
          <t>2025-03-10</t>
        </is>
      </c>
      <c r="H205" t="n">
        <v>2872</v>
      </c>
      <c r="I205" t="n">
        <v>2076</v>
      </c>
      <c r="J205" t="n">
        <v>97837</v>
      </c>
      <c r="K205" t="inlineStr">
        <is>
          <t>Pending</t>
        </is>
      </c>
      <c r="L205" t="inlineStr">
        <is>
          <t>In Progress</t>
        </is>
      </c>
    </row>
    <row r="206">
      <c r="A206" t="n">
        <v>205</v>
      </c>
      <c r="B206" t="inlineStr">
        <is>
          <t>Pune Plant</t>
        </is>
      </c>
      <c r="C206" t="inlineStr">
        <is>
          <t>Testing</t>
        </is>
      </c>
      <c r="D206" t="inlineStr">
        <is>
          <t>Vivo</t>
        </is>
      </c>
      <c r="E206" t="inlineStr">
        <is>
          <t>Smartphone</t>
        </is>
      </c>
      <c r="F206" t="inlineStr">
        <is>
          <t>Vivo T3</t>
        </is>
      </c>
      <c r="G206" t="inlineStr">
        <is>
          <t>2025-12-18</t>
        </is>
      </c>
      <c r="H206" t="n">
        <v>3646</v>
      </c>
      <c r="I206" t="n">
        <v>2862</v>
      </c>
      <c r="J206" t="n">
        <v>85248</v>
      </c>
      <c r="K206" t="inlineStr">
        <is>
          <t>Pending</t>
        </is>
      </c>
      <c r="L206" t="inlineStr">
        <is>
          <t>In Progress</t>
        </is>
      </c>
    </row>
    <row r="207">
      <c r="A207" t="n">
        <v>206</v>
      </c>
      <c r="B207" t="inlineStr">
        <is>
          <t>Sriperumbudur Plant</t>
        </is>
      </c>
      <c r="C207" t="inlineStr">
        <is>
          <t>Testing</t>
        </is>
      </c>
      <c r="D207" t="inlineStr">
        <is>
          <t>Vivo</t>
        </is>
      </c>
      <c r="E207" t="inlineStr">
        <is>
          <t>Smartphone</t>
        </is>
      </c>
      <c r="F207" t="inlineStr">
        <is>
          <t>Vivo T3</t>
        </is>
      </c>
      <c r="G207" t="inlineStr">
        <is>
          <t>2025-06-11</t>
        </is>
      </c>
      <c r="H207" t="n">
        <v>4582</v>
      </c>
      <c r="I207" t="n">
        <v>2883</v>
      </c>
      <c r="J207" t="n">
        <v>40805</v>
      </c>
      <c r="K207" t="inlineStr">
        <is>
          <t>Shipped</t>
        </is>
      </c>
      <c r="L207" t="inlineStr">
        <is>
          <t>Completed</t>
        </is>
      </c>
    </row>
    <row r="208">
      <c r="A208" t="n">
        <v>207</v>
      </c>
      <c r="B208" t="inlineStr">
        <is>
          <t>Sriperumbudur Plant</t>
        </is>
      </c>
      <c r="C208" t="inlineStr">
        <is>
          <t>Packaging</t>
        </is>
      </c>
      <c r="D208" t="inlineStr">
        <is>
          <t>Vivo</t>
        </is>
      </c>
      <c r="E208" t="inlineStr">
        <is>
          <t>Smartphone</t>
        </is>
      </c>
      <c r="F208" t="inlineStr">
        <is>
          <t>Vivo Y300</t>
        </is>
      </c>
      <c r="G208" t="inlineStr">
        <is>
          <t>2025-06-20</t>
        </is>
      </c>
      <c r="H208" t="n">
        <v>3170</v>
      </c>
      <c r="I208" t="n">
        <v>2417</v>
      </c>
      <c r="J208" t="n">
        <v>57486</v>
      </c>
      <c r="K208" t="inlineStr">
        <is>
          <t>Shipped</t>
        </is>
      </c>
      <c r="L208" t="inlineStr">
        <is>
          <t>Completed</t>
        </is>
      </c>
    </row>
    <row r="209">
      <c r="A209" t="n">
        <v>208</v>
      </c>
      <c r="B209" t="inlineStr">
        <is>
          <t>Pune Plant</t>
        </is>
      </c>
      <c r="C209" t="inlineStr">
        <is>
          <t>Testing</t>
        </is>
      </c>
      <c r="D209" t="inlineStr">
        <is>
          <t>Vivo</t>
        </is>
      </c>
      <c r="E209" t="inlineStr">
        <is>
          <t>Smartphone</t>
        </is>
      </c>
      <c r="F209" t="inlineStr">
        <is>
          <t>Vivo Y300</t>
        </is>
      </c>
      <c r="G209" t="inlineStr">
        <is>
          <t>2025-02-22</t>
        </is>
      </c>
      <c r="H209" t="n">
        <v>2284</v>
      </c>
      <c r="I209" t="n">
        <v>1449</v>
      </c>
      <c r="J209" t="n">
        <v>85945</v>
      </c>
      <c r="K209" t="inlineStr">
        <is>
          <t>In Transit</t>
        </is>
      </c>
      <c r="L209" t="inlineStr">
        <is>
          <t>In Progress</t>
        </is>
      </c>
    </row>
    <row r="210">
      <c r="A210" t="n">
        <v>209</v>
      </c>
      <c r="B210" t="inlineStr">
        <is>
          <t>Pune Plant</t>
        </is>
      </c>
      <c r="C210" t="inlineStr">
        <is>
          <t>Assembly</t>
        </is>
      </c>
      <c r="D210" t="inlineStr">
        <is>
          <t>Vivo</t>
        </is>
      </c>
      <c r="E210" t="inlineStr">
        <is>
          <t>Smartphone</t>
        </is>
      </c>
      <c r="F210" t="inlineStr">
        <is>
          <t>Vivo Y300</t>
        </is>
      </c>
      <c r="G210" t="inlineStr">
        <is>
          <t>2025-03-31</t>
        </is>
      </c>
      <c r="H210" t="n">
        <v>3522</v>
      </c>
      <c r="I210" t="n">
        <v>2504</v>
      </c>
      <c r="J210" t="n">
        <v>67821</v>
      </c>
      <c r="K210" t="inlineStr">
        <is>
          <t>In Transit</t>
        </is>
      </c>
      <c r="L210" t="inlineStr">
        <is>
          <t>Completed</t>
        </is>
      </c>
    </row>
    <row r="211">
      <c r="A211" t="n">
        <v>209</v>
      </c>
      <c r="B211" t="inlineStr">
        <is>
          <t>Pune Plant</t>
        </is>
      </c>
      <c r="C211" t="inlineStr">
        <is>
          <t>Assembly</t>
        </is>
      </c>
      <c r="D211" t="inlineStr">
        <is>
          <t>Vivo</t>
        </is>
      </c>
      <c r="E211" t="inlineStr">
        <is>
          <t>Smartphone</t>
        </is>
      </c>
      <c r="F211" t="inlineStr">
        <is>
          <t>Vivo Y300</t>
        </is>
      </c>
      <c r="G211" t="inlineStr">
        <is>
          <t>2025-03-31</t>
        </is>
      </c>
      <c r="H211" t="n">
        <v>3522</v>
      </c>
      <c r="I211" t="n">
        <v>2504</v>
      </c>
      <c r="J211" t="n">
        <v>67821</v>
      </c>
      <c r="K211" t="inlineStr">
        <is>
          <t>In Transit</t>
        </is>
      </c>
      <c r="L211" t="inlineStr">
        <is>
          <t>Completed</t>
        </is>
      </c>
    </row>
    <row r="212">
      <c r="A212" t="n">
        <v>211</v>
      </c>
      <c r="B212" t="inlineStr">
        <is>
          <t>Noida Plant</t>
        </is>
      </c>
      <c r="C212" t="inlineStr">
        <is>
          <t>Assembly</t>
        </is>
      </c>
      <c r="D212" t="inlineStr">
        <is>
          <t>Vivo</t>
        </is>
      </c>
      <c r="E212" t="inlineStr">
        <is>
          <t>Smartphone</t>
        </is>
      </c>
      <c r="F212" t="inlineStr">
        <is>
          <t>Vivo Y300</t>
        </is>
      </c>
      <c r="G212" t="inlineStr">
        <is>
          <t>2025-01-29</t>
        </is>
      </c>
      <c r="H212" t="n">
        <v>2626</v>
      </c>
      <c r="I212" t="n">
        <v>1710</v>
      </c>
      <c r="J212" t="n">
        <v>38978</v>
      </c>
      <c r="K212" t="inlineStr">
        <is>
          <t>In Transit</t>
        </is>
      </c>
      <c r="L212" t="inlineStr">
        <is>
          <t>Completed</t>
        </is>
      </c>
    </row>
    <row r="213">
      <c r="A213" t="n">
        <v>212</v>
      </c>
      <c r="B213" t="inlineStr">
        <is>
          <t>Chennai Plant</t>
        </is>
      </c>
      <c r="C213" t="inlineStr">
        <is>
          <t>Testing</t>
        </is>
      </c>
      <c r="D213" t="inlineStr">
        <is>
          <t>Vivo</t>
        </is>
      </c>
      <c r="E213" t="inlineStr">
        <is>
          <t>Smartphone</t>
        </is>
      </c>
      <c r="F213" t="inlineStr">
        <is>
          <t>Vivo V40</t>
        </is>
      </c>
      <c r="G213" t="inlineStr">
        <is>
          <t>2025-02-26</t>
        </is>
      </c>
      <c r="H213" t="n">
        <v>2587</v>
      </c>
      <c r="I213" t="n">
        <v>2148</v>
      </c>
      <c r="J213" t="n">
        <v>61566</v>
      </c>
      <c r="K213" t="inlineStr">
        <is>
          <t>Shipped</t>
        </is>
      </c>
      <c r="L213" t="inlineStr">
        <is>
          <t>Completed</t>
        </is>
      </c>
    </row>
    <row r="214">
      <c r="A214" t="n">
        <v>212</v>
      </c>
      <c r="B214" t="inlineStr">
        <is>
          <t>Chennai Plant</t>
        </is>
      </c>
      <c r="C214" t="inlineStr">
        <is>
          <t>Testing</t>
        </is>
      </c>
      <c r="D214" t="inlineStr">
        <is>
          <t>Vivo</t>
        </is>
      </c>
      <c r="E214" t="inlineStr">
        <is>
          <t>Smartphone</t>
        </is>
      </c>
      <c r="F214" t="inlineStr">
        <is>
          <t>Vivo V40</t>
        </is>
      </c>
      <c r="G214" t="inlineStr">
        <is>
          <t>2025-02-26</t>
        </is>
      </c>
      <c r="H214" t="n">
        <v>2587</v>
      </c>
      <c r="I214" t="n">
        <v>2148</v>
      </c>
      <c r="J214" t="n">
        <v>61566</v>
      </c>
      <c r="K214" t="inlineStr">
        <is>
          <t>Shipped</t>
        </is>
      </c>
      <c r="L214" t="inlineStr">
        <is>
          <t>Completed</t>
        </is>
      </c>
    </row>
    <row r="215">
      <c r="A215" t="n">
        <v>214</v>
      </c>
      <c r="B215" t="inlineStr">
        <is>
          <t>Noida Plant</t>
        </is>
      </c>
      <c r="C215" t="inlineStr">
        <is>
          <t>Packaging</t>
        </is>
      </c>
      <c r="D215" t="inlineStr">
        <is>
          <t>Vivo</t>
        </is>
      </c>
      <c r="E215" t="inlineStr">
        <is>
          <t>Smartphone</t>
        </is>
      </c>
      <c r="F215" t="inlineStr">
        <is>
          <t>Vivo T3</t>
        </is>
      </c>
      <c r="G215" t="inlineStr">
        <is>
          <t>2025-02-26</t>
        </is>
      </c>
      <c r="H215" t="n">
        <v>4331</v>
      </c>
      <c r="I215" t="n">
        <v>2863</v>
      </c>
      <c r="J215" t="n">
        <v>71042</v>
      </c>
      <c r="K215" t="inlineStr">
        <is>
          <t>In Transit</t>
        </is>
      </c>
      <c r="L215" t="inlineStr">
        <is>
          <t>In Progress</t>
        </is>
      </c>
    </row>
    <row r="216">
      <c r="A216" t="n">
        <v>215</v>
      </c>
      <c r="B216" t="inlineStr">
        <is>
          <t>Noida Plant</t>
        </is>
      </c>
      <c r="C216" t="inlineStr">
        <is>
          <t>Packaging</t>
        </is>
      </c>
      <c r="D216" t="inlineStr">
        <is>
          <t>Vivo</t>
        </is>
      </c>
      <c r="E216" t="inlineStr">
        <is>
          <t>Smartphone</t>
        </is>
      </c>
      <c r="F216" t="inlineStr">
        <is>
          <t>Vivo Y300</t>
        </is>
      </c>
      <c r="G216" t="inlineStr">
        <is>
          <t>2025-12-27</t>
        </is>
      </c>
      <c r="H216" t="n">
        <v>4090</v>
      </c>
      <c r="I216" t="n">
        <v>2912</v>
      </c>
      <c r="J216" t="n">
        <v>50205</v>
      </c>
      <c r="K216" t="inlineStr">
        <is>
          <t>In Transit</t>
        </is>
      </c>
      <c r="L216" t="inlineStr">
        <is>
          <t>In Progress</t>
        </is>
      </c>
    </row>
    <row r="217">
      <c r="A217" t="n">
        <v>216</v>
      </c>
      <c r="B217" t="inlineStr">
        <is>
          <t>Chennai Plant</t>
        </is>
      </c>
      <c r="C217" t="inlineStr">
        <is>
          <t>Assembly</t>
        </is>
      </c>
      <c r="D217" t="inlineStr">
        <is>
          <t>Vivo</t>
        </is>
      </c>
      <c r="E217" t="inlineStr">
        <is>
          <t>Smartphone</t>
        </is>
      </c>
      <c r="F217" t="inlineStr">
        <is>
          <t>Vivo V40</t>
        </is>
      </c>
      <c r="G217" t="inlineStr">
        <is>
          <t>2025-01-02</t>
        </is>
      </c>
      <c r="H217" t="n">
        <v>2794</v>
      </c>
      <c r="I217" t="n">
        <v>2608</v>
      </c>
      <c r="J217" t="n">
        <v>82792</v>
      </c>
      <c r="K217" t="inlineStr">
        <is>
          <t>In Transit</t>
        </is>
      </c>
      <c r="L217" t="inlineStr">
        <is>
          <t>In Progress</t>
        </is>
      </c>
    </row>
    <row r="218">
      <c r="A218" t="n">
        <v>217</v>
      </c>
      <c r="B218" t="inlineStr">
        <is>
          <t>Pune Plant</t>
        </is>
      </c>
      <c r="C218" t="inlineStr">
        <is>
          <t>Manufacturing</t>
        </is>
      </c>
      <c r="D218" t="inlineStr">
        <is>
          <t>Vivo</t>
        </is>
      </c>
      <c r="E218" t="inlineStr">
        <is>
          <t>Smartphone</t>
        </is>
      </c>
      <c r="F218" t="inlineStr">
        <is>
          <t>Vivo V40</t>
        </is>
      </c>
      <c r="G218" t="inlineStr">
        <is>
          <t>2025-05-16</t>
        </is>
      </c>
      <c r="H218" t="n">
        <v>1062</v>
      </c>
      <c r="I218" t="n">
        <v>750</v>
      </c>
      <c r="J218" t="n">
        <v>112063</v>
      </c>
      <c r="K218" t="inlineStr">
        <is>
          <t>Shipped</t>
        </is>
      </c>
      <c r="L218" t="inlineStr">
        <is>
          <t>In Progress</t>
        </is>
      </c>
    </row>
    <row r="219">
      <c r="A219" t="n">
        <v>218</v>
      </c>
      <c r="B219" t="inlineStr">
        <is>
          <t>Sriperumbudur Plant</t>
        </is>
      </c>
      <c r="C219" t="inlineStr">
        <is>
          <t>Manufacturing</t>
        </is>
      </c>
      <c r="D219" t="inlineStr">
        <is>
          <t>Vivo</t>
        </is>
      </c>
      <c r="E219" t="inlineStr">
        <is>
          <t>Smartphone</t>
        </is>
      </c>
      <c r="F219" t="inlineStr">
        <is>
          <t>Vivo V40</t>
        </is>
      </c>
      <c r="G219" t="inlineStr">
        <is>
          <t>2025-01-18</t>
        </is>
      </c>
      <c r="H219" t="n">
        <v>2853</v>
      </c>
      <c r="I219" t="n">
        <v>1846</v>
      </c>
      <c r="J219" t="n">
        <v>53001</v>
      </c>
      <c r="K219" t="inlineStr">
        <is>
          <t>Pending</t>
        </is>
      </c>
      <c r="L219" t="inlineStr">
        <is>
          <t>In Progress</t>
        </is>
      </c>
    </row>
    <row r="220">
      <c r="A220" t="n">
        <v>219</v>
      </c>
      <c r="B220" t="inlineStr">
        <is>
          <t>Chennai Plant</t>
        </is>
      </c>
      <c r="C220" t="inlineStr">
        <is>
          <t>Packaging</t>
        </is>
      </c>
      <c r="D220" t="inlineStr">
        <is>
          <t>vivo</t>
        </is>
      </c>
      <c r="E220" t="inlineStr">
        <is>
          <t>Smartphone</t>
        </is>
      </c>
      <c r="F220" t="inlineStr">
        <is>
          <t>Vivo Y300</t>
        </is>
      </c>
      <c r="G220" t="inlineStr">
        <is>
          <t>2025-08-16</t>
        </is>
      </c>
      <c r="H220" t="n">
        <v>2070</v>
      </c>
      <c r="I220" t="n">
        <v>1729</v>
      </c>
      <c r="J220" t="n">
        <v>44965</v>
      </c>
      <c r="K220" t="inlineStr">
        <is>
          <t>Pending</t>
        </is>
      </c>
      <c r="L220" t="inlineStr">
        <is>
          <t>In Progress</t>
        </is>
      </c>
    </row>
    <row r="221">
      <c r="A221" t="n">
        <v>220</v>
      </c>
      <c r="B221" t="inlineStr">
        <is>
          <t>Pune Plant</t>
        </is>
      </c>
      <c r="C221" t="inlineStr">
        <is>
          <t>Manufacturing</t>
        </is>
      </c>
      <c r="D221" t="inlineStr">
        <is>
          <t>Vivo</t>
        </is>
      </c>
      <c r="E221" t="inlineStr">
        <is>
          <t>Smartphone</t>
        </is>
      </c>
      <c r="F221" t="inlineStr">
        <is>
          <t>Vivo Y300</t>
        </is>
      </c>
      <c r="G221" t="inlineStr">
        <is>
          <t>2025-12-26</t>
        </is>
      </c>
      <c r="H221" t="n">
        <v>1771</v>
      </c>
      <c r="I221" t="n">
        <v>1414</v>
      </c>
      <c r="J221" t="n">
        <v>46363</v>
      </c>
      <c r="K221" t="inlineStr">
        <is>
          <t>Shipped</t>
        </is>
      </c>
      <c r="L221" t="inlineStr">
        <is>
          <t>In Progress</t>
        </is>
      </c>
    </row>
    <row r="222">
      <c r="A222" t="n">
        <v>221</v>
      </c>
      <c r="B222" t="inlineStr">
        <is>
          <t>Pune Plant</t>
        </is>
      </c>
      <c r="C222" t="inlineStr">
        <is>
          <t>Testing</t>
        </is>
      </c>
      <c r="D222" t="inlineStr">
        <is>
          <t>Vivo</t>
        </is>
      </c>
      <c r="E222" t="inlineStr">
        <is>
          <t>Smartphone</t>
        </is>
      </c>
      <c r="F222" t="inlineStr">
        <is>
          <t>Vivo Y300</t>
        </is>
      </c>
      <c r="G222" t="inlineStr">
        <is>
          <t>2025-10-06</t>
        </is>
      </c>
      <c r="H222" t="n">
        <v>3943</v>
      </c>
      <c r="I222" t="n">
        <v>2428</v>
      </c>
      <c r="J222" t="n">
        <v>36906</v>
      </c>
      <c r="K222" t="inlineStr">
        <is>
          <t>In Transit</t>
        </is>
      </c>
      <c r="L222" t="inlineStr">
        <is>
          <t>In Progress</t>
        </is>
      </c>
    </row>
    <row r="223">
      <c r="A223" t="n">
        <v>222</v>
      </c>
      <c r="B223" t="inlineStr">
        <is>
          <t>Sriperumbudur Plant</t>
        </is>
      </c>
      <c r="C223" t="inlineStr">
        <is>
          <t>Testing</t>
        </is>
      </c>
      <c r="D223" t="inlineStr">
        <is>
          <t xml:space="preserve"> Vivo  </t>
        </is>
      </c>
      <c r="E223" t="inlineStr">
        <is>
          <t>Smartphone</t>
        </is>
      </c>
      <c r="F223" t="inlineStr">
        <is>
          <t>Vivo T3</t>
        </is>
      </c>
      <c r="G223" t="inlineStr">
        <is>
          <t>2025-09-01</t>
        </is>
      </c>
      <c r="H223" t="n">
        <v>772</v>
      </c>
      <c r="I223" t="n">
        <v>577</v>
      </c>
      <c r="J223" t="n">
        <v>97771</v>
      </c>
      <c r="K223" t="inlineStr">
        <is>
          <t>In Transit</t>
        </is>
      </c>
      <c r="L223" t="inlineStr">
        <is>
          <t>In Progress</t>
        </is>
      </c>
    </row>
    <row r="224">
      <c r="A224" t="n">
        <v>223</v>
      </c>
      <c r="B224" t="inlineStr">
        <is>
          <t>Chennai Plant</t>
        </is>
      </c>
      <c r="C224" t="inlineStr">
        <is>
          <t>Testing</t>
        </is>
      </c>
      <c r="D224" t="inlineStr">
        <is>
          <t>Vivo</t>
        </is>
      </c>
      <c r="E224" t="inlineStr">
        <is>
          <t>Smartphone</t>
        </is>
      </c>
      <c r="F224" t="inlineStr">
        <is>
          <t>Vivo Y300</t>
        </is>
      </c>
      <c r="G224" t="inlineStr">
        <is>
          <t>2025-06-20</t>
        </is>
      </c>
      <c r="H224" t="n">
        <v>4581</v>
      </c>
      <c r="I224" t="n">
        <v>4005</v>
      </c>
      <c r="J224" t="n">
        <v>111094</v>
      </c>
      <c r="K224" t="inlineStr">
        <is>
          <t>In Transit</t>
        </is>
      </c>
      <c r="L224" t="inlineStr">
        <is>
          <t>In Progress</t>
        </is>
      </c>
    </row>
    <row r="225">
      <c r="A225" t="n">
        <v>224</v>
      </c>
      <c r="B225" t="inlineStr">
        <is>
          <t>Bengaluru Plant</t>
        </is>
      </c>
      <c r="C225" t="inlineStr">
        <is>
          <t>Testing</t>
        </is>
      </c>
      <c r="D225" t="inlineStr">
        <is>
          <t>Vivo</t>
        </is>
      </c>
      <c r="E225" t="inlineStr">
        <is>
          <t>Smartphone</t>
        </is>
      </c>
      <c r="F225" t="inlineStr">
        <is>
          <t>Vivo V40</t>
        </is>
      </c>
      <c r="G225" t="inlineStr">
        <is>
          <t>2025-09-17</t>
        </is>
      </c>
      <c r="H225" t="n">
        <v>4924</v>
      </c>
      <c r="I225" t="n">
        <v>3728</v>
      </c>
      <c r="J225" t="n">
        <v>47214</v>
      </c>
      <c r="K225" t="inlineStr">
        <is>
          <t>Shipped</t>
        </is>
      </c>
      <c r="L225" t="inlineStr">
        <is>
          <t>In Progress</t>
        </is>
      </c>
    </row>
    <row r="226">
      <c r="A226" t="n">
        <v>225</v>
      </c>
      <c r="B226" t="inlineStr">
        <is>
          <t>Sriperumbudur Plant</t>
        </is>
      </c>
      <c r="C226" t="inlineStr">
        <is>
          <t>Manufacturing</t>
        </is>
      </c>
      <c r="D226" t="inlineStr">
        <is>
          <t>Vivo</t>
        </is>
      </c>
      <c r="E226" t="inlineStr">
        <is>
          <t>Smartphone</t>
        </is>
      </c>
      <c r="F226" t="inlineStr">
        <is>
          <t>Vivo Y300</t>
        </is>
      </c>
      <c r="G226" t="inlineStr">
        <is>
          <t>2025-11-04</t>
        </is>
      </c>
      <c r="H226" t="n">
        <v>4648</v>
      </c>
      <c r="I226" t="n">
        <v>4322</v>
      </c>
      <c r="J226" t="n">
        <v>105139</v>
      </c>
      <c r="K226" t="inlineStr">
        <is>
          <t>Shipped</t>
        </is>
      </c>
      <c r="L226" t="inlineStr">
        <is>
          <t>Completed</t>
        </is>
      </c>
    </row>
    <row r="227">
      <c r="A227" t="n">
        <v>226</v>
      </c>
      <c r="B227" t="inlineStr">
        <is>
          <t>Pune Plant</t>
        </is>
      </c>
      <c r="C227" t="inlineStr">
        <is>
          <t>Manufacturing</t>
        </is>
      </c>
      <c r="D227" t="inlineStr">
        <is>
          <t>Vivo</t>
        </is>
      </c>
      <c r="E227" t="inlineStr">
        <is>
          <t>Smartphone</t>
        </is>
      </c>
      <c r="F227" t="inlineStr">
        <is>
          <t>Vivo V40</t>
        </is>
      </c>
      <c r="G227" t="inlineStr">
        <is>
          <t>2025-10-05</t>
        </is>
      </c>
      <c r="H227" t="n">
        <v>2953</v>
      </c>
      <c r="I227" t="n">
        <v>2109</v>
      </c>
      <c r="J227" t="n">
        <v>18597</v>
      </c>
      <c r="K227" t="inlineStr">
        <is>
          <t>In Transit</t>
        </is>
      </c>
      <c r="L227" t="inlineStr">
        <is>
          <t>Completed</t>
        </is>
      </c>
    </row>
    <row r="228">
      <c r="A228" t="n">
        <v>227</v>
      </c>
      <c r="B228" t="inlineStr">
        <is>
          <t>Noida Plant</t>
        </is>
      </c>
      <c r="C228" t="inlineStr">
        <is>
          <t>Manufacturing</t>
        </is>
      </c>
      <c r="D228" t="inlineStr">
        <is>
          <t>Vivo</t>
        </is>
      </c>
      <c r="E228" t="inlineStr">
        <is>
          <t>Smartphone</t>
        </is>
      </c>
      <c r="F228" t="inlineStr">
        <is>
          <t>Vivo Y300</t>
        </is>
      </c>
      <c r="G228" t="inlineStr">
        <is>
          <t>2025-10-19</t>
        </is>
      </c>
      <c r="H228" t="n">
        <v>1254</v>
      </c>
      <c r="I228" t="n">
        <v>881</v>
      </c>
      <c r="J228" t="n">
        <v>72167</v>
      </c>
      <c r="K228" t="inlineStr">
        <is>
          <t>Shipped</t>
        </is>
      </c>
      <c r="L228" t="inlineStr">
        <is>
          <t>In Progress</t>
        </is>
      </c>
    </row>
    <row r="229">
      <c r="A229" t="n">
        <v>228</v>
      </c>
      <c r="B229" t="inlineStr">
        <is>
          <t>Pune Plant</t>
        </is>
      </c>
      <c r="C229" t="inlineStr">
        <is>
          <t>Packaging</t>
        </is>
      </c>
      <c r="D229" t="inlineStr">
        <is>
          <t>Vivo</t>
        </is>
      </c>
      <c r="E229" t="inlineStr">
        <is>
          <t>Smartphone</t>
        </is>
      </c>
      <c r="F229" t="inlineStr">
        <is>
          <t>Vivo Y300</t>
        </is>
      </c>
      <c r="G229" t="inlineStr">
        <is>
          <t>2025-08-17</t>
        </is>
      </c>
      <c r="H229" t="n">
        <v>1892</v>
      </c>
      <c r="I229" t="n">
        <v>1508</v>
      </c>
      <c r="J229" t="n">
        <v>87292</v>
      </c>
      <c r="K229" t="inlineStr">
        <is>
          <t>Shipped</t>
        </is>
      </c>
      <c r="L229" t="inlineStr">
        <is>
          <t>In Progress</t>
        </is>
      </c>
    </row>
    <row r="230">
      <c r="A230" t="n">
        <v>229</v>
      </c>
      <c r="B230" t="inlineStr">
        <is>
          <t>Chennai Plant</t>
        </is>
      </c>
      <c r="C230" t="inlineStr">
        <is>
          <t>Packaging</t>
        </is>
      </c>
      <c r="D230" t="inlineStr">
        <is>
          <t>Vivo</t>
        </is>
      </c>
      <c r="E230" t="inlineStr">
        <is>
          <t>Smartphone</t>
        </is>
      </c>
      <c r="F230" t="inlineStr">
        <is>
          <t>Vivo Y300</t>
        </is>
      </c>
      <c r="G230" t="inlineStr">
        <is>
          <t>2025-11-17</t>
        </is>
      </c>
      <c r="H230" t="n">
        <v>1783</v>
      </c>
      <c r="I230" t="n">
        <v>1480</v>
      </c>
      <c r="J230" t="n">
        <v>23896</v>
      </c>
      <c r="K230" t="inlineStr">
        <is>
          <t>Shipped</t>
        </is>
      </c>
      <c r="L230" t="inlineStr">
        <is>
          <t>Completed</t>
        </is>
      </c>
    </row>
    <row r="231">
      <c r="A231" t="n">
        <v>230</v>
      </c>
      <c r="B231" t="inlineStr">
        <is>
          <t>Bengaluru Plant</t>
        </is>
      </c>
      <c r="C231" t="inlineStr">
        <is>
          <t>Packaging</t>
        </is>
      </c>
      <c r="D231" t="inlineStr">
        <is>
          <t>Vivo</t>
        </is>
      </c>
      <c r="E231" t="inlineStr">
        <is>
          <t>Smartphone</t>
        </is>
      </c>
      <c r="F231" t="inlineStr">
        <is>
          <t>Vivo T3</t>
        </is>
      </c>
      <c r="G231" t="inlineStr">
        <is>
          <t>2025-08-11</t>
        </is>
      </c>
      <c r="H231" t="n">
        <v>4109</v>
      </c>
      <c r="I231" t="n">
        <v>3922</v>
      </c>
      <c r="J231" t="n">
        <v>113708</v>
      </c>
      <c r="K231" t="inlineStr">
        <is>
          <t>Pending</t>
        </is>
      </c>
      <c r="L231" t="inlineStr">
        <is>
          <t>In Progress</t>
        </is>
      </c>
    </row>
    <row r="232">
      <c r="A232" t="n">
        <v>231</v>
      </c>
      <c r="B232" t="inlineStr">
        <is>
          <t>Sriperumbudur Plant</t>
        </is>
      </c>
      <c r="C232" t="inlineStr">
        <is>
          <t>Manufacturing</t>
        </is>
      </c>
      <c r="D232" t="inlineStr">
        <is>
          <t>Vivo</t>
        </is>
      </c>
      <c r="E232" t="inlineStr">
        <is>
          <t>Smartphone</t>
        </is>
      </c>
      <c r="F232" t="inlineStr">
        <is>
          <t>Vivo T3</t>
        </is>
      </c>
      <c r="G232" t="inlineStr">
        <is>
          <t>2025-06-19</t>
        </is>
      </c>
      <c r="H232" t="n">
        <v>4283</v>
      </c>
      <c r="I232" t="n">
        <v>2961</v>
      </c>
      <c r="J232" t="n">
        <v>110877</v>
      </c>
      <c r="K232" t="inlineStr">
        <is>
          <t>In Transit</t>
        </is>
      </c>
      <c r="L232" t="inlineStr">
        <is>
          <t>Completed</t>
        </is>
      </c>
    </row>
    <row r="233">
      <c r="A233" t="n">
        <v>232</v>
      </c>
      <c r="B233" t="inlineStr">
        <is>
          <t>Noida Plant</t>
        </is>
      </c>
      <c r="C233" t="inlineStr">
        <is>
          <t>Assembly</t>
        </is>
      </c>
      <c r="D233" t="inlineStr">
        <is>
          <t>Vivo</t>
        </is>
      </c>
      <c r="E233" t="inlineStr">
        <is>
          <t>Smartphone</t>
        </is>
      </c>
      <c r="F233" t="inlineStr">
        <is>
          <t>Vivo V40</t>
        </is>
      </c>
      <c r="G233" t="inlineStr">
        <is>
          <t>2025-04-18</t>
        </is>
      </c>
      <c r="H233" t="n">
        <v>3257</v>
      </c>
      <c r="I233" t="n">
        <v>3089</v>
      </c>
      <c r="J233" t="n">
        <v>67402</v>
      </c>
      <c r="K233" t="inlineStr">
        <is>
          <t>Pending</t>
        </is>
      </c>
      <c r="L233" t="inlineStr">
        <is>
          <t>Completed</t>
        </is>
      </c>
    </row>
    <row r="234">
      <c r="A234" t="n">
        <v>233</v>
      </c>
      <c r="B234" t="inlineStr">
        <is>
          <t>Chennai Plant</t>
        </is>
      </c>
      <c r="C234" t="inlineStr">
        <is>
          <t>Packaging</t>
        </is>
      </c>
      <c r="D234" t="inlineStr">
        <is>
          <t>Vivo</t>
        </is>
      </c>
      <c r="E234" t="inlineStr">
        <is>
          <t>Smartphone</t>
        </is>
      </c>
      <c r="F234" t="inlineStr">
        <is>
          <t>Vivo Y300</t>
        </is>
      </c>
      <c r="G234" t="inlineStr">
        <is>
          <t>2025-12-20</t>
        </is>
      </c>
      <c r="H234" t="n">
        <v>2491</v>
      </c>
      <c r="I234" t="n">
        <v>2182</v>
      </c>
      <c r="J234" t="n">
        <v>40458</v>
      </c>
      <c r="K234" t="inlineStr">
        <is>
          <t>Shipped</t>
        </is>
      </c>
      <c r="L234" t="inlineStr">
        <is>
          <t>Completed</t>
        </is>
      </c>
    </row>
    <row r="235">
      <c r="A235" t="n">
        <v>234</v>
      </c>
      <c r="B235" t="inlineStr">
        <is>
          <t>Bengaluru Plant</t>
        </is>
      </c>
      <c r="C235" t="inlineStr">
        <is>
          <t>Testing</t>
        </is>
      </c>
      <c r="D235" t="inlineStr">
        <is>
          <t>vivo</t>
        </is>
      </c>
      <c r="E235" t="inlineStr">
        <is>
          <t>Smartphone</t>
        </is>
      </c>
      <c r="F235" t="inlineStr">
        <is>
          <t>Vivo T3</t>
        </is>
      </c>
      <c r="G235" t="inlineStr">
        <is>
          <t>2025-05-22</t>
        </is>
      </c>
      <c r="H235" t="n">
        <v>1963</v>
      </c>
      <c r="I235" t="n">
        <v>1228</v>
      </c>
      <c r="J235" t="n">
        <v>27265</v>
      </c>
      <c r="K235" t="inlineStr">
        <is>
          <t>Pending</t>
        </is>
      </c>
      <c r="L235" t="inlineStr">
        <is>
          <t>In Progress</t>
        </is>
      </c>
    </row>
    <row r="236">
      <c r="A236" t="n">
        <v>235</v>
      </c>
      <c r="B236" t="inlineStr">
        <is>
          <t>Bengaluru Plant</t>
        </is>
      </c>
      <c r="C236" t="inlineStr">
        <is>
          <t>Assembly</t>
        </is>
      </c>
      <c r="D236" t="inlineStr">
        <is>
          <t>Vivo</t>
        </is>
      </c>
      <c r="E236" t="inlineStr">
        <is>
          <t>Smartphone</t>
        </is>
      </c>
      <c r="F236" t="inlineStr">
        <is>
          <t>Vivo V40</t>
        </is>
      </c>
      <c r="G236" t="inlineStr">
        <is>
          <t>2025-12-21</t>
        </is>
      </c>
      <c r="H236" t="n">
        <v>2832</v>
      </c>
      <c r="I236" t="n">
        <v>2690</v>
      </c>
      <c r="J236" t="n">
        <v>79545</v>
      </c>
      <c r="K236" t="inlineStr">
        <is>
          <t>In Transit</t>
        </is>
      </c>
      <c r="L236" t="inlineStr">
        <is>
          <t>In Progress</t>
        </is>
      </c>
    </row>
    <row r="237">
      <c r="A237" t="n">
        <v>236</v>
      </c>
      <c r="B237" t="inlineStr">
        <is>
          <t>Bengaluru Plant</t>
        </is>
      </c>
      <c r="C237" t="inlineStr">
        <is>
          <t>Testing</t>
        </is>
      </c>
      <c r="D237" t="inlineStr">
        <is>
          <t>Vivo</t>
        </is>
      </c>
      <c r="E237" t="inlineStr">
        <is>
          <t>Smartphone</t>
        </is>
      </c>
      <c r="F237" t="inlineStr">
        <is>
          <t>Vivo T3</t>
        </is>
      </c>
      <c r="G237" t="inlineStr">
        <is>
          <t>2025-08-25</t>
        </is>
      </c>
      <c r="H237" t="n">
        <v>836</v>
      </c>
      <c r="I237" t="n">
        <v>535</v>
      </c>
      <c r="J237" t="n">
        <v>67316</v>
      </c>
      <c r="K237" t="inlineStr">
        <is>
          <t>Pending</t>
        </is>
      </c>
      <c r="L237" t="inlineStr">
        <is>
          <t>Completed</t>
        </is>
      </c>
    </row>
    <row r="238">
      <c r="A238" t="n">
        <v>237</v>
      </c>
      <c r="B238" t="inlineStr">
        <is>
          <t>Bengaluru Plant</t>
        </is>
      </c>
      <c r="C238" t="inlineStr">
        <is>
          <t>Testing</t>
        </is>
      </c>
      <c r="D238" t="inlineStr">
        <is>
          <t>Vivo</t>
        </is>
      </c>
      <c r="E238" t="inlineStr">
        <is>
          <t>Smartphone</t>
        </is>
      </c>
      <c r="F238" t="inlineStr">
        <is>
          <t>Vivo Y300</t>
        </is>
      </c>
      <c r="G238" t="inlineStr">
        <is>
          <t>2025-06-06</t>
        </is>
      </c>
      <c r="H238" t="n">
        <v>2801</v>
      </c>
      <c r="I238" t="n">
        <v>2384</v>
      </c>
      <c r="J238" t="n">
        <v>91496</v>
      </c>
      <c r="L238" t="inlineStr">
        <is>
          <t>In Progress</t>
        </is>
      </c>
    </row>
    <row r="239">
      <c r="A239" t="n">
        <v>238</v>
      </c>
      <c r="B239" t="inlineStr">
        <is>
          <t>Chennai Plant</t>
        </is>
      </c>
      <c r="C239" t="inlineStr">
        <is>
          <t>Testing</t>
        </is>
      </c>
      <c r="D239" t="inlineStr">
        <is>
          <t>Vivo</t>
        </is>
      </c>
      <c r="E239" t="inlineStr">
        <is>
          <t>Smartphone</t>
        </is>
      </c>
      <c r="F239" t="inlineStr">
        <is>
          <t>Vivo Y300</t>
        </is>
      </c>
      <c r="G239" t="inlineStr">
        <is>
          <t>2025-11-10</t>
        </is>
      </c>
      <c r="H239" t="n">
        <v>3388</v>
      </c>
      <c r="I239" t="n">
        <v>2314</v>
      </c>
      <c r="J239" t="n">
        <v>12894</v>
      </c>
      <c r="K239" t="inlineStr">
        <is>
          <t>Pending</t>
        </is>
      </c>
      <c r="L239" t="inlineStr">
        <is>
          <t>Completed</t>
        </is>
      </c>
    </row>
    <row r="240">
      <c r="A240" t="n">
        <v>239</v>
      </c>
      <c r="B240" t="inlineStr">
        <is>
          <t>Sriperumbudur Plant</t>
        </is>
      </c>
      <c r="C240" t="inlineStr">
        <is>
          <t>Assembly</t>
        </is>
      </c>
      <c r="D240" t="inlineStr">
        <is>
          <t>Vivo</t>
        </is>
      </c>
      <c r="E240" t="inlineStr">
        <is>
          <t>Smartphone</t>
        </is>
      </c>
      <c r="F240" t="inlineStr">
        <is>
          <t>Vivo V40</t>
        </is>
      </c>
      <c r="G240" t="inlineStr">
        <is>
          <t>2025-09-09</t>
        </is>
      </c>
      <c r="H240" t="n">
        <v>1515</v>
      </c>
      <c r="I240" t="n">
        <v>1143</v>
      </c>
      <c r="J240" t="n">
        <v>73523</v>
      </c>
      <c r="K240" t="inlineStr">
        <is>
          <t>In Transit</t>
        </is>
      </c>
      <c r="L240" t="inlineStr">
        <is>
          <t>Completed</t>
        </is>
      </c>
    </row>
    <row r="241">
      <c r="A241" t="n">
        <v>240</v>
      </c>
      <c r="B241" t="inlineStr">
        <is>
          <t>Sriperumbudur Plant</t>
        </is>
      </c>
      <c r="C241" t="inlineStr">
        <is>
          <t>Packaging</t>
        </is>
      </c>
      <c r="D241" t="inlineStr">
        <is>
          <t>Vivo</t>
        </is>
      </c>
      <c r="E241" t="inlineStr">
        <is>
          <t>Smartphone</t>
        </is>
      </c>
      <c r="F241" t="inlineStr">
        <is>
          <t>Vivo T3</t>
        </is>
      </c>
      <c r="G241" t="inlineStr">
        <is>
          <t>2025-07-02</t>
        </is>
      </c>
      <c r="H241" t="n">
        <v>4520</v>
      </c>
      <c r="I241" t="n">
        <v>4244</v>
      </c>
      <c r="J241" t="n">
        <v>101061</v>
      </c>
      <c r="K241" t="inlineStr">
        <is>
          <t>Shipped</t>
        </is>
      </c>
      <c r="L241" t="inlineStr">
        <is>
          <t>Completed</t>
        </is>
      </c>
    </row>
    <row r="242">
      <c r="A242" t="n">
        <v>241</v>
      </c>
      <c r="B242" t="inlineStr">
        <is>
          <t>Sriperumbudur Plant</t>
        </is>
      </c>
      <c r="C242" t="inlineStr">
        <is>
          <t>Testing</t>
        </is>
      </c>
      <c r="D242" t="inlineStr">
        <is>
          <t>OnePlus</t>
        </is>
      </c>
      <c r="E242" t="inlineStr">
        <is>
          <t>Smartphone</t>
        </is>
      </c>
      <c r="F242" t="inlineStr">
        <is>
          <t>OnePlus 13R</t>
        </is>
      </c>
      <c r="G242" t="inlineStr">
        <is>
          <t>2025-03-12</t>
        </is>
      </c>
      <c r="H242" t="n">
        <v>800</v>
      </c>
      <c r="I242" t="n">
        <v>625</v>
      </c>
      <c r="J242" t="n">
        <v>66705</v>
      </c>
      <c r="K242" t="inlineStr">
        <is>
          <t>Pending</t>
        </is>
      </c>
      <c r="L242" t="inlineStr">
        <is>
          <t>Completed</t>
        </is>
      </c>
    </row>
    <row r="243">
      <c r="A243" t="n">
        <v>242</v>
      </c>
      <c r="B243" t="inlineStr">
        <is>
          <t>Chennai Plant</t>
        </is>
      </c>
      <c r="C243" t="inlineStr">
        <is>
          <t>Assembly</t>
        </is>
      </c>
      <c r="D243" t="inlineStr">
        <is>
          <t>OnePlus</t>
        </is>
      </c>
      <c r="E243" t="inlineStr">
        <is>
          <t>Smartphone</t>
        </is>
      </c>
      <c r="F243" t="inlineStr">
        <is>
          <t>OnePlus Nord 5</t>
        </is>
      </c>
      <c r="G243" t="inlineStr">
        <is>
          <t>2025-12-14</t>
        </is>
      </c>
      <c r="H243" t="n">
        <v>3135</v>
      </c>
      <c r="I243" t="n">
        <v>2878</v>
      </c>
      <c r="J243" t="n">
        <v>57296</v>
      </c>
      <c r="K243" t="inlineStr">
        <is>
          <t>Pending</t>
        </is>
      </c>
      <c r="L243" t="inlineStr">
        <is>
          <t>Completed</t>
        </is>
      </c>
    </row>
    <row r="244">
      <c r="A244" t="n">
        <v>243</v>
      </c>
      <c r="B244" t="inlineStr">
        <is>
          <t>Sriperumbudur Plant</t>
        </is>
      </c>
      <c r="C244" t="inlineStr">
        <is>
          <t>Packaging</t>
        </is>
      </c>
      <c r="D244" t="inlineStr">
        <is>
          <t>oneplus</t>
        </is>
      </c>
      <c r="E244" t="inlineStr">
        <is>
          <t>Smartphone</t>
        </is>
      </c>
      <c r="F244" t="inlineStr">
        <is>
          <t>OnePlus 13R</t>
        </is>
      </c>
      <c r="G244" t="inlineStr">
        <is>
          <t>2025-05-11</t>
        </is>
      </c>
      <c r="H244" t="n">
        <v>1051</v>
      </c>
      <c r="I244" t="n">
        <v>787</v>
      </c>
      <c r="J244" t="n">
        <v>71817</v>
      </c>
      <c r="K244" t="inlineStr">
        <is>
          <t>Shipped</t>
        </is>
      </c>
      <c r="L244" t="inlineStr">
        <is>
          <t>Completed</t>
        </is>
      </c>
    </row>
    <row r="245">
      <c r="A245" t="n">
        <v>244</v>
      </c>
      <c r="B245" t="inlineStr">
        <is>
          <t>Bengaluru Plant</t>
        </is>
      </c>
      <c r="C245" t="inlineStr">
        <is>
          <t>Packaging</t>
        </is>
      </c>
      <c r="D245" t="inlineStr">
        <is>
          <t>OnePlus</t>
        </is>
      </c>
      <c r="E245" t="inlineStr">
        <is>
          <t>Smartphone</t>
        </is>
      </c>
      <c r="F245" t="inlineStr">
        <is>
          <t>OnePlus 13</t>
        </is>
      </c>
      <c r="G245" t="inlineStr">
        <is>
          <t>2025-12-24</t>
        </is>
      </c>
      <c r="H245" t="n">
        <v>4779</v>
      </c>
      <c r="I245" t="n">
        <v>2874</v>
      </c>
      <c r="J245" t="n">
        <v>112251</v>
      </c>
      <c r="K245" t="inlineStr">
        <is>
          <t>Shipped</t>
        </is>
      </c>
      <c r="L245" t="inlineStr">
        <is>
          <t>In Progress</t>
        </is>
      </c>
    </row>
    <row r="246">
      <c r="A246" t="n">
        <v>245</v>
      </c>
      <c r="B246" t="inlineStr">
        <is>
          <t>Pune Plant</t>
        </is>
      </c>
      <c r="C246" t="inlineStr">
        <is>
          <t>Packaging</t>
        </is>
      </c>
      <c r="D246" t="inlineStr">
        <is>
          <t>OnePlus</t>
        </is>
      </c>
      <c r="E246" t="inlineStr">
        <is>
          <t>Smartphone</t>
        </is>
      </c>
      <c r="F246" t="inlineStr">
        <is>
          <t>OnePlus 13R</t>
        </is>
      </c>
      <c r="G246" t="inlineStr">
        <is>
          <t>2025-10-30</t>
        </is>
      </c>
      <c r="H246" t="n">
        <v>1104</v>
      </c>
      <c r="I246" t="n">
        <v>980</v>
      </c>
      <c r="J246" t="n">
        <v>46918</v>
      </c>
      <c r="K246" t="inlineStr">
        <is>
          <t>Shipped</t>
        </is>
      </c>
      <c r="L246" t="inlineStr">
        <is>
          <t>In Progress</t>
        </is>
      </c>
    </row>
    <row r="247">
      <c r="A247" t="n">
        <v>246</v>
      </c>
      <c r="B247" t="inlineStr">
        <is>
          <t>Noida Plant</t>
        </is>
      </c>
      <c r="C247" t="inlineStr">
        <is>
          <t>Manufacturing</t>
        </is>
      </c>
      <c r="D247" t="inlineStr">
        <is>
          <t>OnePlus</t>
        </is>
      </c>
      <c r="E247" t="inlineStr">
        <is>
          <t>Smartphone</t>
        </is>
      </c>
      <c r="F247" t="inlineStr">
        <is>
          <t>OnePlus 13R</t>
        </is>
      </c>
      <c r="G247" t="inlineStr">
        <is>
          <t>2025-08-26</t>
        </is>
      </c>
      <c r="H247" t="n">
        <v>1855</v>
      </c>
      <c r="I247" t="n">
        <v>1310</v>
      </c>
      <c r="J247" t="n">
        <v>47829</v>
      </c>
      <c r="K247" t="inlineStr">
        <is>
          <t>In Transit</t>
        </is>
      </c>
      <c r="L247" t="inlineStr">
        <is>
          <t>In Progress</t>
        </is>
      </c>
    </row>
    <row r="248">
      <c r="A248" t="n">
        <v>247</v>
      </c>
      <c r="B248" t="inlineStr">
        <is>
          <t>Noida Plant</t>
        </is>
      </c>
      <c r="C248" t="inlineStr">
        <is>
          <t>Manufacturing</t>
        </is>
      </c>
      <c r="D248" t="inlineStr">
        <is>
          <t>OnePlus</t>
        </is>
      </c>
      <c r="E248" t="inlineStr">
        <is>
          <t>Smartphone</t>
        </is>
      </c>
      <c r="F248" t="inlineStr">
        <is>
          <t>OnePlus Nord 5</t>
        </is>
      </c>
      <c r="G248" t="inlineStr">
        <is>
          <t>2025-03-20</t>
        </is>
      </c>
      <c r="H248" t="n">
        <v>776</v>
      </c>
      <c r="I248" t="n">
        <v>702</v>
      </c>
      <c r="J248" t="n">
        <v>65909</v>
      </c>
      <c r="K248" t="inlineStr">
        <is>
          <t>Pending</t>
        </is>
      </c>
      <c r="L248" t="inlineStr">
        <is>
          <t>In Progress</t>
        </is>
      </c>
    </row>
    <row r="249">
      <c r="A249" t="n">
        <v>248</v>
      </c>
      <c r="B249" t="inlineStr">
        <is>
          <t>Pune Plant</t>
        </is>
      </c>
      <c r="C249" t="inlineStr">
        <is>
          <t>Assembly</t>
        </is>
      </c>
      <c r="D249" t="inlineStr">
        <is>
          <t>OnePlus</t>
        </is>
      </c>
      <c r="E249" t="inlineStr">
        <is>
          <t>Smartphone</t>
        </is>
      </c>
      <c r="F249" t="inlineStr">
        <is>
          <t>OnePlus 13R</t>
        </is>
      </c>
      <c r="G249" t="inlineStr">
        <is>
          <t>2025-06-12</t>
        </is>
      </c>
      <c r="H249" t="n">
        <v>2354</v>
      </c>
      <c r="I249" t="n">
        <v>1457</v>
      </c>
      <c r="J249" t="n">
        <v>42853</v>
      </c>
      <c r="K249" t="inlineStr">
        <is>
          <t>In Transit</t>
        </is>
      </c>
      <c r="L249" t="inlineStr">
        <is>
          <t>In Progress</t>
        </is>
      </c>
    </row>
    <row r="250">
      <c r="A250" t="n">
        <v>249</v>
      </c>
      <c r="B250" t="inlineStr">
        <is>
          <t>Bengaluru Plant</t>
        </is>
      </c>
      <c r="C250" t="inlineStr">
        <is>
          <t>Packaging</t>
        </is>
      </c>
      <c r="D250" t="inlineStr">
        <is>
          <t xml:space="preserve"> OnePlus  </t>
        </is>
      </c>
      <c r="E250" t="inlineStr">
        <is>
          <t>Smartphone</t>
        </is>
      </c>
      <c r="F250" t="inlineStr">
        <is>
          <t>OnePlus Nord 5</t>
        </is>
      </c>
      <c r="G250" t="inlineStr">
        <is>
          <t>2025-03-13</t>
        </is>
      </c>
      <c r="H250" t="n">
        <v>2132</v>
      </c>
      <c r="I250" t="n">
        <v>1510</v>
      </c>
      <c r="J250" t="n">
        <v>60334</v>
      </c>
      <c r="K250" t="inlineStr">
        <is>
          <t>Pending</t>
        </is>
      </c>
      <c r="L250" t="inlineStr">
        <is>
          <t>In Progress</t>
        </is>
      </c>
    </row>
    <row r="251">
      <c r="A251" t="n">
        <v>250</v>
      </c>
      <c r="B251" t="inlineStr">
        <is>
          <t>Bengaluru Plant</t>
        </is>
      </c>
      <c r="C251" t="inlineStr">
        <is>
          <t>Packaging</t>
        </is>
      </c>
      <c r="D251" t="inlineStr">
        <is>
          <t>OnePlus</t>
        </is>
      </c>
      <c r="E251" t="inlineStr">
        <is>
          <t>Smartphone</t>
        </is>
      </c>
      <c r="F251" t="inlineStr">
        <is>
          <t>OnePlus Nord 5</t>
        </is>
      </c>
      <c r="G251" t="inlineStr">
        <is>
          <t>2025-02-28</t>
        </is>
      </c>
      <c r="H251" t="n">
        <v>2308</v>
      </c>
      <c r="I251" t="n">
        <v>1857</v>
      </c>
      <c r="J251" t="n">
        <v>76781</v>
      </c>
      <c r="K251" t="inlineStr">
        <is>
          <t>Pending</t>
        </is>
      </c>
      <c r="L251" t="inlineStr">
        <is>
          <t>Completed</t>
        </is>
      </c>
    </row>
    <row r="252">
      <c r="A252" t="n">
        <v>251</v>
      </c>
      <c r="B252" t="inlineStr">
        <is>
          <t>Sriperumbudur Plant</t>
        </is>
      </c>
      <c r="C252" t="inlineStr">
        <is>
          <t>Packaging</t>
        </is>
      </c>
      <c r="D252" t="inlineStr">
        <is>
          <t>OnePlus</t>
        </is>
      </c>
      <c r="E252" t="inlineStr">
        <is>
          <t>Smartphone</t>
        </is>
      </c>
      <c r="F252" t="inlineStr">
        <is>
          <t>OnePlus 13</t>
        </is>
      </c>
      <c r="G252" t="inlineStr">
        <is>
          <t>2025-12-07</t>
        </is>
      </c>
      <c r="H252" t="n">
        <v>3459</v>
      </c>
      <c r="I252" t="n">
        <v>2219</v>
      </c>
      <c r="J252" t="n">
        <v>79811</v>
      </c>
      <c r="K252" t="inlineStr">
        <is>
          <t>Pending</t>
        </is>
      </c>
      <c r="L252" t="inlineStr">
        <is>
          <t>Completed</t>
        </is>
      </c>
    </row>
    <row r="253">
      <c r="A253" t="n">
        <v>252</v>
      </c>
      <c r="B253" t="inlineStr">
        <is>
          <t>Pune Plant</t>
        </is>
      </c>
      <c r="C253" t="inlineStr">
        <is>
          <t>Manufacturing</t>
        </is>
      </c>
      <c r="D253" t="inlineStr">
        <is>
          <t>OnePlus</t>
        </is>
      </c>
      <c r="E253" t="inlineStr">
        <is>
          <t>Smartphone</t>
        </is>
      </c>
      <c r="F253" t="inlineStr">
        <is>
          <t>OnePlus 13</t>
        </is>
      </c>
      <c r="G253" t="inlineStr">
        <is>
          <t>2025-06-22</t>
        </is>
      </c>
      <c r="H253" t="n">
        <v>3144</v>
      </c>
      <c r="I253" t="n">
        <v>2576</v>
      </c>
      <c r="J253" t="n">
        <v>55085</v>
      </c>
      <c r="K253" t="inlineStr">
        <is>
          <t>In Transit</t>
        </is>
      </c>
      <c r="L253" t="inlineStr">
        <is>
          <t>In Progress</t>
        </is>
      </c>
    </row>
    <row r="254">
      <c r="A254" t="n">
        <v>253</v>
      </c>
      <c r="B254" t="inlineStr">
        <is>
          <t>Chennai Plant</t>
        </is>
      </c>
      <c r="C254" t="inlineStr">
        <is>
          <t>Testing</t>
        </is>
      </c>
      <c r="D254" t="inlineStr">
        <is>
          <t>OnePlus</t>
        </is>
      </c>
      <c r="E254" t="inlineStr">
        <is>
          <t>Smartphone</t>
        </is>
      </c>
      <c r="F254" t="inlineStr">
        <is>
          <t>OnePlus 13</t>
        </is>
      </c>
      <c r="G254" t="inlineStr">
        <is>
          <t>2025-01-16</t>
        </is>
      </c>
      <c r="H254" t="n">
        <v>1842</v>
      </c>
      <c r="I254" t="n">
        <v>1786</v>
      </c>
      <c r="J254" t="n">
        <v>16671</v>
      </c>
      <c r="K254" t="inlineStr">
        <is>
          <t>Pending</t>
        </is>
      </c>
      <c r="L254" t="inlineStr">
        <is>
          <t>In Progress</t>
        </is>
      </c>
    </row>
    <row r="255">
      <c r="A255" t="n">
        <v>254</v>
      </c>
      <c r="B255" t="inlineStr">
        <is>
          <t>Sriperumbudur Plant</t>
        </is>
      </c>
      <c r="C255" t="inlineStr">
        <is>
          <t>Assembly</t>
        </is>
      </c>
      <c r="D255" t="inlineStr">
        <is>
          <t>OnePlus</t>
        </is>
      </c>
      <c r="E255" t="inlineStr">
        <is>
          <t>Smartphone</t>
        </is>
      </c>
      <c r="F255" t="inlineStr">
        <is>
          <t>OnePlus 13</t>
        </is>
      </c>
      <c r="G255" t="inlineStr">
        <is>
          <t>2025-06-17</t>
        </is>
      </c>
      <c r="H255" t="n">
        <v>4583</v>
      </c>
      <c r="I255" t="n">
        <v>2769</v>
      </c>
      <c r="J255" t="n">
        <v>75830</v>
      </c>
      <c r="K255" t="inlineStr">
        <is>
          <t>Pending</t>
        </is>
      </c>
      <c r="L255" t="inlineStr">
        <is>
          <t>In Progress</t>
        </is>
      </c>
    </row>
    <row r="256">
      <c r="A256" t="n">
        <v>255</v>
      </c>
      <c r="B256" t="inlineStr">
        <is>
          <t>Bengaluru Plant</t>
        </is>
      </c>
      <c r="C256" t="inlineStr">
        <is>
          <t>Packaging</t>
        </is>
      </c>
      <c r="D256" t="inlineStr">
        <is>
          <t>OnePlus</t>
        </is>
      </c>
      <c r="E256" t="inlineStr">
        <is>
          <t>Smartphone</t>
        </is>
      </c>
      <c r="F256" t="inlineStr">
        <is>
          <t>OnePlus 13R</t>
        </is>
      </c>
      <c r="G256" t="inlineStr">
        <is>
          <t>2025-12-10</t>
        </is>
      </c>
      <c r="H256" t="n">
        <v>2785</v>
      </c>
      <c r="I256" t="n">
        <v>1969</v>
      </c>
      <c r="J256" t="n">
        <v>96984</v>
      </c>
      <c r="K256" t="inlineStr">
        <is>
          <t>Pending</t>
        </is>
      </c>
      <c r="L256" t="inlineStr">
        <is>
          <t>Completed</t>
        </is>
      </c>
    </row>
    <row r="257">
      <c r="A257" t="n">
        <v>256</v>
      </c>
      <c r="B257" t="inlineStr">
        <is>
          <t>Noida Plant</t>
        </is>
      </c>
      <c r="C257" t="inlineStr">
        <is>
          <t>Packaging</t>
        </is>
      </c>
      <c r="D257" t="inlineStr">
        <is>
          <t>OnePlus</t>
        </is>
      </c>
      <c r="E257" t="inlineStr">
        <is>
          <t>Smartphone</t>
        </is>
      </c>
      <c r="F257" t="inlineStr">
        <is>
          <t>OnePlus 13R</t>
        </is>
      </c>
      <c r="G257" t="inlineStr">
        <is>
          <t>2025-07-02</t>
        </is>
      </c>
      <c r="H257" t="n">
        <v>1498</v>
      </c>
      <c r="I257" t="n">
        <v>1222</v>
      </c>
      <c r="J257" t="n">
        <v>52980</v>
      </c>
      <c r="K257" t="inlineStr">
        <is>
          <t>In Transit</t>
        </is>
      </c>
      <c r="L257" t="inlineStr">
        <is>
          <t>Completed</t>
        </is>
      </c>
    </row>
    <row r="258">
      <c r="A258" t="n">
        <v>257</v>
      </c>
      <c r="B258" t="inlineStr">
        <is>
          <t>Sriperumbudur Plant</t>
        </is>
      </c>
      <c r="C258" t="inlineStr">
        <is>
          <t>Manufacturing</t>
        </is>
      </c>
      <c r="D258" t="inlineStr">
        <is>
          <t>OnePlus</t>
        </is>
      </c>
      <c r="E258" t="inlineStr">
        <is>
          <t>Smartphone</t>
        </is>
      </c>
      <c r="F258" t="inlineStr">
        <is>
          <t>OnePlus 13R</t>
        </is>
      </c>
      <c r="G258" t="inlineStr">
        <is>
          <t>2025-08-04</t>
        </is>
      </c>
      <c r="H258" t="n">
        <v>3999</v>
      </c>
      <c r="I258" t="n">
        <v>3387</v>
      </c>
      <c r="J258" t="n">
        <v>113052</v>
      </c>
      <c r="K258" t="inlineStr">
        <is>
          <t>In Transit</t>
        </is>
      </c>
      <c r="L258" t="inlineStr">
        <is>
          <t>In Progress</t>
        </is>
      </c>
    </row>
    <row r="259">
      <c r="A259" t="n">
        <v>258</v>
      </c>
      <c r="B259" t="inlineStr">
        <is>
          <t>Noida Plant</t>
        </is>
      </c>
      <c r="C259" t="inlineStr">
        <is>
          <t>Assembly</t>
        </is>
      </c>
      <c r="D259" t="inlineStr">
        <is>
          <t>oneplus</t>
        </is>
      </c>
      <c r="E259" t="inlineStr">
        <is>
          <t>Smartphone</t>
        </is>
      </c>
      <c r="F259" t="inlineStr">
        <is>
          <t>OnePlus Nord 5</t>
        </is>
      </c>
      <c r="G259" t="inlineStr">
        <is>
          <t>2025-07-18</t>
        </is>
      </c>
      <c r="H259" t="n">
        <v>3063</v>
      </c>
      <c r="I259" t="n">
        <v>2297</v>
      </c>
      <c r="J259" t="n">
        <v>90535</v>
      </c>
      <c r="K259" t="inlineStr">
        <is>
          <t>In Transit</t>
        </is>
      </c>
      <c r="L259" t="inlineStr">
        <is>
          <t>In Progress</t>
        </is>
      </c>
    </row>
    <row r="260">
      <c r="A260" t="n">
        <v>258</v>
      </c>
      <c r="B260" t="inlineStr">
        <is>
          <t>Noida Plant</t>
        </is>
      </c>
      <c r="C260" t="inlineStr">
        <is>
          <t>Assembly</t>
        </is>
      </c>
      <c r="D260" t="inlineStr">
        <is>
          <t>oneplus</t>
        </is>
      </c>
      <c r="E260" t="inlineStr">
        <is>
          <t>Smartphone</t>
        </is>
      </c>
      <c r="F260" t="inlineStr">
        <is>
          <t>OnePlus Nord 5</t>
        </is>
      </c>
      <c r="G260" t="inlineStr">
        <is>
          <t>2025-07-18</t>
        </is>
      </c>
      <c r="H260" t="n">
        <v>3063</v>
      </c>
      <c r="I260" t="n">
        <v>2297</v>
      </c>
      <c r="J260" t="n">
        <v>90535</v>
      </c>
      <c r="K260" t="inlineStr">
        <is>
          <t>In Transit</t>
        </is>
      </c>
      <c r="L260" t="inlineStr">
        <is>
          <t>In Progress</t>
        </is>
      </c>
    </row>
    <row r="261">
      <c r="A261" t="n">
        <v>260</v>
      </c>
      <c r="B261" t="inlineStr">
        <is>
          <t>Pune Plant</t>
        </is>
      </c>
      <c r="C261" t="inlineStr">
        <is>
          <t>Manufacturing</t>
        </is>
      </c>
      <c r="D261" t="inlineStr">
        <is>
          <t>OnePlus</t>
        </is>
      </c>
      <c r="E261" t="inlineStr">
        <is>
          <t>Smartphone</t>
        </is>
      </c>
      <c r="F261" t="inlineStr">
        <is>
          <t>OnePlus 13</t>
        </is>
      </c>
      <c r="G261" t="inlineStr">
        <is>
          <t>2025-07-22</t>
        </is>
      </c>
      <c r="H261" t="n">
        <v>1976</v>
      </c>
      <c r="I261" t="n">
        <v>1336</v>
      </c>
      <c r="J261" t="n">
        <v>44209</v>
      </c>
      <c r="K261" t="inlineStr">
        <is>
          <t>Pending</t>
        </is>
      </c>
      <c r="L261" t="inlineStr">
        <is>
          <t>In Progress</t>
        </is>
      </c>
    </row>
    <row r="262">
      <c r="A262" t="n">
        <v>261</v>
      </c>
      <c r="B262" t="inlineStr">
        <is>
          <t>Noida Plant</t>
        </is>
      </c>
      <c r="C262" t="inlineStr">
        <is>
          <t>Manufacturing</t>
        </is>
      </c>
      <c r="D262" t="inlineStr">
        <is>
          <t>OnePlus</t>
        </is>
      </c>
      <c r="E262" t="inlineStr">
        <is>
          <t>Smartphone</t>
        </is>
      </c>
      <c r="F262" t="inlineStr">
        <is>
          <t>OnePlus 13</t>
        </is>
      </c>
      <c r="G262" t="inlineStr">
        <is>
          <t>2025-05-28</t>
        </is>
      </c>
      <c r="H262" t="n">
        <v>2780</v>
      </c>
      <c r="I262" t="n">
        <v>2239</v>
      </c>
      <c r="J262" t="n">
        <v>51453</v>
      </c>
      <c r="K262" t="inlineStr">
        <is>
          <t>In Transit</t>
        </is>
      </c>
      <c r="L262" t="inlineStr">
        <is>
          <t>Completed</t>
        </is>
      </c>
    </row>
    <row r="263">
      <c r="A263" t="n">
        <v>262</v>
      </c>
      <c r="B263" t="inlineStr">
        <is>
          <t>Noida Plant</t>
        </is>
      </c>
      <c r="C263" t="inlineStr">
        <is>
          <t>Testing</t>
        </is>
      </c>
      <c r="D263" t="inlineStr">
        <is>
          <t>OnePlus</t>
        </is>
      </c>
      <c r="E263" t="inlineStr">
        <is>
          <t>Smartphone</t>
        </is>
      </c>
      <c r="F263" t="inlineStr">
        <is>
          <t>OnePlus Nord 5</t>
        </is>
      </c>
      <c r="G263" t="inlineStr">
        <is>
          <t>2025-11-26</t>
        </is>
      </c>
      <c r="H263" t="n">
        <v>777</v>
      </c>
      <c r="I263" t="n">
        <v>636</v>
      </c>
      <c r="J263" t="n">
        <v>81058</v>
      </c>
      <c r="K263" t="inlineStr">
        <is>
          <t>Shipped</t>
        </is>
      </c>
      <c r="L263" t="inlineStr">
        <is>
          <t>In Progress</t>
        </is>
      </c>
    </row>
    <row r="264">
      <c r="A264" t="n">
        <v>263</v>
      </c>
      <c r="B264" t="inlineStr">
        <is>
          <t>Chennai Plant</t>
        </is>
      </c>
      <c r="C264" t="inlineStr">
        <is>
          <t>Testing</t>
        </is>
      </c>
      <c r="D264" t="inlineStr">
        <is>
          <t>OnePlus</t>
        </is>
      </c>
      <c r="E264" t="inlineStr">
        <is>
          <t>Smartphone</t>
        </is>
      </c>
      <c r="F264" t="inlineStr">
        <is>
          <t>OnePlus Nord 5</t>
        </is>
      </c>
      <c r="G264" t="inlineStr">
        <is>
          <t>2025-11-16</t>
        </is>
      </c>
      <c r="H264" t="n">
        <v>3568</v>
      </c>
      <c r="I264" t="n">
        <v>2756</v>
      </c>
      <c r="J264" t="n">
        <v>57060</v>
      </c>
      <c r="K264" t="inlineStr">
        <is>
          <t>Shipped</t>
        </is>
      </c>
      <c r="L264" t="inlineStr">
        <is>
          <t>In Progress</t>
        </is>
      </c>
    </row>
    <row r="265">
      <c r="A265" t="n">
        <v>264</v>
      </c>
      <c r="B265" t="inlineStr">
        <is>
          <t>Bengaluru Plant</t>
        </is>
      </c>
      <c r="C265" t="inlineStr">
        <is>
          <t>Testing</t>
        </is>
      </c>
      <c r="D265" t="inlineStr">
        <is>
          <t>OnePlus</t>
        </is>
      </c>
      <c r="E265" t="inlineStr">
        <is>
          <t>Smartphone</t>
        </is>
      </c>
      <c r="F265" t="inlineStr">
        <is>
          <t>OnePlus 13</t>
        </is>
      </c>
      <c r="G265" t="inlineStr">
        <is>
          <t>2025-05-18</t>
        </is>
      </c>
      <c r="H265" t="n">
        <v>3887</v>
      </c>
      <c r="I265" t="n">
        <v>3097</v>
      </c>
      <c r="J265" t="n">
        <v>45171</v>
      </c>
      <c r="K265" t="inlineStr">
        <is>
          <t>Shipped</t>
        </is>
      </c>
      <c r="L265" t="inlineStr">
        <is>
          <t>In Progress</t>
        </is>
      </c>
    </row>
    <row r="266">
      <c r="A266" t="n">
        <v>265</v>
      </c>
      <c r="B266" t="inlineStr">
        <is>
          <t>Pune Plant</t>
        </is>
      </c>
      <c r="C266" t="inlineStr">
        <is>
          <t>Manufacturing</t>
        </is>
      </c>
      <c r="D266" t="inlineStr">
        <is>
          <t>OnePlus</t>
        </is>
      </c>
      <c r="E266" t="inlineStr">
        <is>
          <t>Smartphone</t>
        </is>
      </c>
      <c r="F266" t="inlineStr">
        <is>
          <t>OnePlus Nord 5</t>
        </is>
      </c>
      <c r="G266" t="inlineStr">
        <is>
          <t>2025-10-28</t>
        </is>
      </c>
      <c r="H266" t="n">
        <v>4153</v>
      </c>
      <c r="I266" t="n">
        <v>3857</v>
      </c>
      <c r="J266" t="n">
        <v>66208</v>
      </c>
      <c r="K266" t="inlineStr">
        <is>
          <t>In Transit</t>
        </is>
      </c>
      <c r="L266" t="inlineStr">
        <is>
          <t>Completed</t>
        </is>
      </c>
    </row>
    <row r="267">
      <c r="A267" t="n">
        <v>266</v>
      </c>
      <c r="B267" t="inlineStr">
        <is>
          <t>Pune Plant</t>
        </is>
      </c>
      <c r="C267" t="inlineStr">
        <is>
          <t>Packaging</t>
        </is>
      </c>
      <c r="D267" t="inlineStr">
        <is>
          <t>OnePlus</t>
        </is>
      </c>
      <c r="E267" t="inlineStr">
        <is>
          <t>Smartphone</t>
        </is>
      </c>
      <c r="F267" t="inlineStr">
        <is>
          <t>OnePlus 13</t>
        </is>
      </c>
      <c r="G267" t="inlineStr">
        <is>
          <t>2025-08-20</t>
        </is>
      </c>
      <c r="H267" t="n">
        <v>4610</v>
      </c>
      <c r="I267" t="n">
        <v>3506</v>
      </c>
      <c r="J267" t="n">
        <v>103246</v>
      </c>
      <c r="K267" t="inlineStr">
        <is>
          <t>In Transit</t>
        </is>
      </c>
      <c r="L267" t="inlineStr">
        <is>
          <t>Completed</t>
        </is>
      </c>
    </row>
    <row r="268">
      <c r="A268" t="n">
        <v>267</v>
      </c>
      <c r="B268" t="inlineStr">
        <is>
          <t>Bengaluru Plant</t>
        </is>
      </c>
      <c r="C268" t="inlineStr">
        <is>
          <t>Manufacturing</t>
        </is>
      </c>
      <c r="D268" t="inlineStr">
        <is>
          <t>OnePlus</t>
        </is>
      </c>
      <c r="E268" t="inlineStr">
        <is>
          <t>Smartphone</t>
        </is>
      </c>
      <c r="F268" t="inlineStr">
        <is>
          <t>OnePlus 13R</t>
        </is>
      </c>
      <c r="G268" t="inlineStr">
        <is>
          <t>2025-01-01</t>
        </is>
      </c>
      <c r="H268" t="n">
        <v>2895</v>
      </c>
      <c r="I268" t="n">
        <v>1991</v>
      </c>
      <c r="J268" t="n">
        <v>77025</v>
      </c>
      <c r="K268" t="inlineStr">
        <is>
          <t>In Transit</t>
        </is>
      </c>
      <c r="L268" t="inlineStr">
        <is>
          <t>In Progress</t>
        </is>
      </c>
    </row>
    <row r="269">
      <c r="A269" t="n">
        <v>268</v>
      </c>
      <c r="B269" t="inlineStr">
        <is>
          <t>Noida Plant</t>
        </is>
      </c>
      <c r="C269" t="inlineStr">
        <is>
          <t>Packaging</t>
        </is>
      </c>
      <c r="D269" t="inlineStr">
        <is>
          <t>OnePlus</t>
        </is>
      </c>
      <c r="E269" t="inlineStr">
        <is>
          <t>Smartphone</t>
        </is>
      </c>
      <c r="F269" t="inlineStr">
        <is>
          <t>OnePlus 13R</t>
        </is>
      </c>
      <c r="G269" t="inlineStr">
        <is>
          <t>2025-02-23</t>
        </is>
      </c>
      <c r="H269" t="n">
        <v>1732</v>
      </c>
      <c r="I269" t="n">
        <v>1347</v>
      </c>
      <c r="J269" t="n">
        <v>61454</v>
      </c>
      <c r="K269" t="inlineStr">
        <is>
          <t>In Transit</t>
        </is>
      </c>
      <c r="L269" t="inlineStr">
        <is>
          <t>Completed</t>
        </is>
      </c>
    </row>
    <row r="270">
      <c r="A270" t="n">
        <v>269</v>
      </c>
      <c r="B270" t="inlineStr">
        <is>
          <t>Bengaluru Plant</t>
        </is>
      </c>
      <c r="C270" t="inlineStr">
        <is>
          <t>Manufacturing</t>
        </is>
      </c>
      <c r="D270" t="inlineStr">
        <is>
          <t>OnePlus</t>
        </is>
      </c>
      <c r="E270" t="inlineStr">
        <is>
          <t>Smartphone</t>
        </is>
      </c>
      <c r="F270" t="inlineStr">
        <is>
          <t>OnePlus 13R</t>
        </is>
      </c>
      <c r="G270" t="inlineStr">
        <is>
          <t>2025-05-27</t>
        </is>
      </c>
      <c r="H270" t="n">
        <v>1433</v>
      </c>
      <c r="I270" t="n">
        <v>1088</v>
      </c>
      <c r="J270" t="n">
        <v>13503</v>
      </c>
      <c r="K270" t="inlineStr">
        <is>
          <t>Pending</t>
        </is>
      </c>
      <c r="L270" t="inlineStr">
        <is>
          <t>Completed</t>
        </is>
      </c>
    </row>
    <row r="271">
      <c r="A271" t="n">
        <v>270</v>
      </c>
      <c r="B271" t="inlineStr">
        <is>
          <t>Bengaluru Plant</t>
        </is>
      </c>
      <c r="C271" t="inlineStr">
        <is>
          <t>Testing</t>
        </is>
      </c>
      <c r="D271" t="inlineStr">
        <is>
          <t>OnePlus</t>
        </is>
      </c>
      <c r="E271" t="inlineStr">
        <is>
          <t>Smartphone</t>
        </is>
      </c>
      <c r="F271" t="inlineStr">
        <is>
          <t>OnePlus Nord 5</t>
        </is>
      </c>
      <c r="G271" t="inlineStr">
        <is>
          <t>2025-09-07</t>
        </is>
      </c>
      <c r="H271" t="n">
        <v>2725</v>
      </c>
      <c r="I271" t="n">
        <v>1709</v>
      </c>
      <c r="J271" t="n">
        <v>50916</v>
      </c>
      <c r="K271" t="inlineStr">
        <is>
          <t>In Transit</t>
        </is>
      </c>
      <c r="L271" t="inlineStr">
        <is>
          <t>Completed</t>
        </is>
      </c>
    </row>
    <row r="272">
      <c r="A272" t="n">
        <v>271</v>
      </c>
      <c r="B272" t="inlineStr">
        <is>
          <t>Noida Plant</t>
        </is>
      </c>
      <c r="C272" t="inlineStr">
        <is>
          <t>Manufacturing</t>
        </is>
      </c>
      <c r="D272" t="inlineStr">
        <is>
          <t>OnePlus</t>
        </is>
      </c>
      <c r="E272" t="inlineStr">
        <is>
          <t>Smartphone</t>
        </is>
      </c>
      <c r="F272" t="inlineStr">
        <is>
          <t>OnePlus 13R</t>
        </is>
      </c>
      <c r="G272" t="inlineStr">
        <is>
          <t>2025-10-12</t>
        </is>
      </c>
      <c r="H272" t="n">
        <v>4819</v>
      </c>
      <c r="I272" t="n">
        <v>4260</v>
      </c>
      <c r="J272" t="n">
        <v>97197</v>
      </c>
      <c r="K272" t="inlineStr">
        <is>
          <t>Shipped</t>
        </is>
      </c>
      <c r="L272" t="inlineStr">
        <is>
          <t>Completed</t>
        </is>
      </c>
    </row>
    <row r="273">
      <c r="A273" t="n">
        <v>272</v>
      </c>
      <c r="B273" t="inlineStr">
        <is>
          <t>Pune Plant</t>
        </is>
      </c>
      <c r="C273" t="inlineStr">
        <is>
          <t>Testing</t>
        </is>
      </c>
      <c r="D273" t="inlineStr">
        <is>
          <t>OnePlus</t>
        </is>
      </c>
      <c r="E273" t="inlineStr">
        <is>
          <t>Smartphone</t>
        </is>
      </c>
      <c r="F273" t="inlineStr">
        <is>
          <t>OnePlus 13</t>
        </is>
      </c>
      <c r="G273" t="inlineStr">
        <is>
          <t>2025-11-02</t>
        </is>
      </c>
      <c r="H273" t="n">
        <v>4026</v>
      </c>
      <c r="I273" t="n">
        <v>3922</v>
      </c>
      <c r="J273" t="n">
        <v>86570</v>
      </c>
      <c r="K273" t="inlineStr">
        <is>
          <t>Pending</t>
        </is>
      </c>
      <c r="L273" t="inlineStr">
        <is>
          <t>Completed</t>
        </is>
      </c>
    </row>
    <row r="274">
      <c r="A274" t="n">
        <v>273</v>
      </c>
      <c r="B274" t="inlineStr">
        <is>
          <t>Pune Plant</t>
        </is>
      </c>
      <c r="C274" t="inlineStr">
        <is>
          <t>Manufacturing</t>
        </is>
      </c>
      <c r="D274" t="inlineStr">
        <is>
          <t>OnePlus</t>
        </is>
      </c>
      <c r="E274" t="inlineStr">
        <is>
          <t>Smartphone</t>
        </is>
      </c>
      <c r="F274" t="inlineStr">
        <is>
          <t>OnePlus 13</t>
        </is>
      </c>
      <c r="G274" t="inlineStr">
        <is>
          <t>2025-06-02</t>
        </is>
      </c>
      <c r="H274" t="n">
        <v>1876</v>
      </c>
      <c r="I274" t="n">
        <v>1627</v>
      </c>
      <c r="J274" t="n">
        <v>32359</v>
      </c>
      <c r="K274" t="inlineStr">
        <is>
          <t>Pending</t>
        </is>
      </c>
      <c r="L274" t="inlineStr">
        <is>
          <t>Completed</t>
        </is>
      </c>
    </row>
    <row r="275">
      <c r="A275" t="n">
        <v>274</v>
      </c>
      <c r="B275" t="inlineStr">
        <is>
          <t>Sriperumbudur Plant</t>
        </is>
      </c>
      <c r="C275" t="inlineStr">
        <is>
          <t>Manufacturing</t>
        </is>
      </c>
      <c r="D275" t="inlineStr">
        <is>
          <t>OnePlus</t>
        </is>
      </c>
      <c r="E275" t="inlineStr">
        <is>
          <t>Smartphone</t>
        </is>
      </c>
      <c r="F275" t="inlineStr">
        <is>
          <t>OnePlus Nord 5</t>
        </is>
      </c>
      <c r="G275" t="inlineStr">
        <is>
          <t>2025-02-27</t>
        </is>
      </c>
      <c r="H275" t="n">
        <v>1000</v>
      </c>
      <c r="I275" t="n">
        <v>632</v>
      </c>
      <c r="J275" t="n">
        <v>73813</v>
      </c>
      <c r="K275" t="inlineStr">
        <is>
          <t>Pending</t>
        </is>
      </c>
      <c r="L275" t="inlineStr">
        <is>
          <t>Completed</t>
        </is>
      </c>
    </row>
    <row r="276">
      <c r="A276" t="n">
        <v>275</v>
      </c>
      <c r="B276" t="inlineStr">
        <is>
          <t>Sriperumbudur Plant</t>
        </is>
      </c>
      <c r="C276" t="inlineStr">
        <is>
          <t>Manufacturing</t>
        </is>
      </c>
      <c r="D276" t="inlineStr">
        <is>
          <t>OnePlus</t>
        </is>
      </c>
      <c r="E276" t="inlineStr">
        <is>
          <t>Smartphone</t>
        </is>
      </c>
      <c r="F276" t="inlineStr">
        <is>
          <t>OnePlus 13</t>
        </is>
      </c>
      <c r="G276" t="inlineStr">
        <is>
          <t>2025-05-29</t>
        </is>
      </c>
      <c r="H276" t="n">
        <v>4532</v>
      </c>
      <c r="I276" t="n">
        <v>3126</v>
      </c>
      <c r="J276" t="n">
        <v>41452</v>
      </c>
      <c r="K276" t="inlineStr">
        <is>
          <t>Pending</t>
        </is>
      </c>
      <c r="L276" t="inlineStr">
        <is>
          <t>In Progress</t>
        </is>
      </c>
    </row>
    <row r="277">
      <c r="A277" t="n">
        <v>276</v>
      </c>
      <c r="B277" t="inlineStr">
        <is>
          <t>Sriperumbudur Plant</t>
        </is>
      </c>
      <c r="C277" t="inlineStr">
        <is>
          <t>Packaging</t>
        </is>
      </c>
      <c r="D277" t="inlineStr">
        <is>
          <t>oneplus</t>
        </is>
      </c>
      <c r="E277" t="inlineStr">
        <is>
          <t>Smartphone</t>
        </is>
      </c>
      <c r="F277" t="inlineStr">
        <is>
          <t>OnePlus Nord 5</t>
        </is>
      </c>
      <c r="G277" t="inlineStr">
        <is>
          <t>2025-10-30</t>
        </is>
      </c>
      <c r="H277" t="n">
        <v>1164</v>
      </c>
      <c r="I277" t="n">
        <v>1085</v>
      </c>
      <c r="J277" t="n">
        <v>27371</v>
      </c>
      <c r="K277" t="inlineStr">
        <is>
          <t>Shipped</t>
        </is>
      </c>
      <c r="L277" t="inlineStr">
        <is>
          <t>Completed</t>
        </is>
      </c>
    </row>
    <row r="278">
      <c r="A278" t="n">
        <v>277</v>
      </c>
      <c r="B278" t="inlineStr">
        <is>
          <t>Bengaluru Plant</t>
        </is>
      </c>
      <c r="C278" t="inlineStr">
        <is>
          <t>Packaging</t>
        </is>
      </c>
      <c r="D278" t="inlineStr">
        <is>
          <t>OnePlus</t>
        </is>
      </c>
      <c r="E278" t="inlineStr">
        <is>
          <t>Smartphone</t>
        </is>
      </c>
      <c r="F278" t="inlineStr">
        <is>
          <t>OnePlus 13</t>
        </is>
      </c>
      <c r="G278" t="inlineStr">
        <is>
          <t>2025-12-12</t>
        </is>
      </c>
      <c r="H278" t="n">
        <v>4322</v>
      </c>
      <c r="I278" t="n">
        <v>3771</v>
      </c>
      <c r="J278" t="n">
        <v>21983</v>
      </c>
      <c r="K278" t="inlineStr">
        <is>
          <t>Shipped</t>
        </is>
      </c>
      <c r="L278" t="inlineStr">
        <is>
          <t>Completed</t>
        </is>
      </c>
    </row>
    <row r="279">
      <c r="A279" t="n">
        <v>278</v>
      </c>
      <c r="B279" t="inlineStr">
        <is>
          <t>Sriperumbudur Plant</t>
        </is>
      </c>
      <c r="C279" t="inlineStr">
        <is>
          <t>Testing</t>
        </is>
      </c>
      <c r="D279" t="inlineStr">
        <is>
          <t xml:space="preserve"> OnePlus  </t>
        </is>
      </c>
      <c r="E279" t="inlineStr">
        <is>
          <t>Smartphone</t>
        </is>
      </c>
      <c r="F279" t="inlineStr">
        <is>
          <t>OnePlus 13R</t>
        </is>
      </c>
      <c r="G279" t="inlineStr">
        <is>
          <t>2025-04-08</t>
        </is>
      </c>
      <c r="H279" t="n">
        <v>3946</v>
      </c>
      <c r="I279" t="n">
        <v>2727</v>
      </c>
      <c r="J279" t="n">
        <v>26805</v>
      </c>
      <c r="K279" t="inlineStr">
        <is>
          <t>Shipped</t>
        </is>
      </c>
      <c r="L279" t="inlineStr">
        <is>
          <t>Completed</t>
        </is>
      </c>
    </row>
    <row r="280">
      <c r="A280" t="n">
        <v>278</v>
      </c>
      <c r="B280" t="inlineStr">
        <is>
          <t>Sriperumbudur Plant</t>
        </is>
      </c>
      <c r="C280" t="inlineStr">
        <is>
          <t>Testing</t>
        </is>
      </c>
      <c r="D280" t="inlineStr">
        <is>
          <t xml:space="preserve"> OnePlus  </t>
        </is>
      </c>
      <c r="E280" t="inlineStr">
        <is>
          <t>Smartphone</t>
        </is>
      </c>
      <c r="F280" t="inlineStr">
        <is>
          <t>OnePlus 13R</t>
        </is>
      </c>
      <c r="G280" t="inlineStr">
        <is>
          <t>2025-04-08</t>
        </is>
      </c>
      <c r="H280" t="n">
        <v>3946</v>
      </c>
      <c r="I280" t="n">
        <v>2727</v>
      </c>
      <c r="J280" t="n">
        <v>26805</v>
      </c>
      <c r="K280" t="inlineStr">
        <is>
          <t>Shipped</t>
        </is>
      </c>
      <c r="L280" t="inlineStr">
        <is>
          <t>Completed</t>
        </is>
      </c>
    </row>
    <row r="281">
      <c r="A281" t="n">
        <v>280</v>
      </c>
      <c r="B281" t="inlineStr">
        <is>
          <t>Bengaluru Plant</t>
        </is>
      </c>
      <c r="C281" t="inlineStr">
        <is>
          <t>Testing</t>
        </is>
      </c>
      <c r="D281" t="inlineStr">
        <is>
          <t>oneplus</t>
        </is>
      </c>
      <c r="E281" t="inlineStr">
        <is>
          <t>Smartphone</t>
        </is>
      </c>
      <c r="F281" t="inlineStr">
        <is>
          <t>OnePlus 13R</t>
        </is>
      </c>
      <c r="G281" t="inlineStr">
        <is>
          <t>2025-10-21</t>
        </is>
      </c>
      <c r="H281" t="n">
        <v>838</v>
      </c>
      <c r="I281" t="n">
        <v>750</v>
      </c>
      <c r="J281" t="n">
        <v>34584</v>
      </c>
      <c r="K281" t="inlineStr">
        <is>
          <t>In Transit</t>
        </is>
      </c>
      <c r="L281" t="inlineStr">
        <is>
          <t>In Progress</t>
        </is>
      </c>
    </row>
    <row r="282">
      <c r="A282" t="n">
        <v>281</v>
      </c>
      <c r="B282" t="inlineStr">
        <is>
          <t>Sriperumbudur Plant</t>
        </is>
      </c>
      <c r="C282" t="inlineStr">
        <is>
          <t>Assembly</t>
        </is>
      </c>
      <c r="D282" t="inlineStr">
        <is>
          <t>OnePlus</t>
        </is>
      </c>
      <c r="E282" t="inlineStr">
        <is>
          <t>Smartphone</t>
        </is>
      </c>
      <c r="F282" t="inlineStr">
        <is>
          <t>OnePlus 13</t>
        </is>
      </c>
      <c r="G282" t="inlineStr">
        <is>
          <t>2025-12-10</t>
        </is>
      </c>
      <c r="H282" t="n">
        <v>3826</v>
      </c>
      <c r="I282" t="n">
        <v>2446</v>
      </c>
      <c r="J282" t="n">
        <v>14911</v>
      </c>
      <c r="K282" t="inlineStr">
        <is>
          <t>Pending</t>
        </is>
      </c>
      <c r="L282" t="inlineStr">
        <is>
          <t>Completed</t>
        </is>
      </c>
    </row>
    <row r="283">
      <c r="A283" t="n">
        <v>282</v>
      </c>
      <c r="B283" t="inlineStr">
        <is>
          <t>Chennai Plant</t>
        </is>
      </c>
      <c r="C283" t="inlineStr">
        <is>
          <t>Packaging</t>
        </is>
      </c>
      <c r="D283" t="inlineStr">
        <is>
          <t>OnePlus</t>
        </is>
      </c>
      <c r="E283" t="inlineStr">
        <is>
          <t>Smartphone</t>
        </is>
      </c>
      <c r="F283" t="inlineStr">
        <is>
          <t>OnePlus Nord 5</t>
        </is>
      </c>
      <c r="G283" t="inlineStr">
        <is>
          <t>2025-10-16</t>
        </is>
      </c>
      <c r="H283" t="n">
        <v>4230</v>
      </c>
      <c r="I283" t="n">
        <v>2955</v>
      </c>
      <c r="J283" t="n">
        <v>88320</v>
      </c>
      <c r="K283" t="inlineStr">
        <is>
          <t>Shipped</t>
        </is>
      </c>
      <c r="L283" t="inlineStr">
        <is>
          <t>Completed</t>
        </is>
      </c>
    </row>
    <row r="284">
      <c r="A284" t="n">
        <v>283</v>
      </c>
      <c r="B284" t="inlineStr">
        <is>
          <t>Chennai Plant</t>
        </is>
      </c>
      <c r="C284" t="inlineStr">
        <is>
          <t>Testing</t>
        </is>
      </c>
      <c r="D284" t="inlineStr">
        <is>
          <t>OnePlus</t>
        </is>
      </c>
      <c r="E284" t="inlineStr">
        <is>
          <t>Smartphone</t>
        </is>
      </c>
      <c r="F284" t="inlineStr">
        <is>
          <t>OnePlus Nord 5</t>
        </is>
      </c>
      <c r="G284" t="inlineStr">
        <is>
          <t>2025-05-15</t>
        </is>
      </c>
      <c r="H284" t="n">
        <v>2775</v>
      </c>
      <c r="I284" t="n">
        <v>1878</v>
      </c>
      <c r="J284" t="n">
        <v>43228</v>
      </c>
      <c r="K284" t="inlineStr">
        <is>
          <t>Shipped</t>
        </is>
      </c>
      <c r="L284" t="inlineStr">
        <is>
          <t>In Progress</t>
        </is>
      </c>
    </row>
    <row r="285">
      <c r="A285" t="n">
        <v>284</v>
      </c>
      <c r="B285" t="inlineStr">
        <is>
          <t>Sriperumbudur Plant</t>
        </is>
      </c>
      <c r="C285" t="inlineStr">
        <is>
          <t>Manufacturing</t>
        </is>
      </c>
      <c r="D285" t="inlineStr">
        <is>
          <t>OnePlus</t>
        </is>
      </c>
      <c r="E285" t="inlineStr">
        <is>
          <t>Smartphone</t>
        </is>
      </c>
      <c r="F285" t="inlineStr">
        <is>
          <t>OnePlus 13R</t>
        </is>
      </c>
      <c r="G285" t="inlineStr">
        <is>
          <t>2025-07-06</t>
        </is>
      </c>
      <c r="H285" t="n">
        <v>4793</v>
      </c>
      <c r="I285" t="n">
        <v>3082</v>
      </c>
      <c r="J285" t="n">
        <v>95770</v>
      </c>
      <c r="K285" t="inlineStr">
        <is>
          <t>In Transit</t>
        </is>
      </c>
      <c r="L285" t="inlineStr">
        <is>
          <t>In Progress</t>
        </is>
      </c>
    </row>
    <row r="286">
      <c r="A286" t="n">
        <v>285</v>
      </c>
      <c r="B286" t="inlineStr">
        <is>
          <t>Sriperumbudur Plant</t>
        </is>
      </c>
      <c r="C286" t="inlineStr">
        <is>
          <t>Manufacturing</t>
        </is>
      </c>
      <c r="D286" t="inlineStr">
        <is>
          <t>OnePlus</t>
        </is>
      </c>
      <c r="E286" t="inlineStr">
        <is>
          <t>Smartphone</t>
        </is>
      </c>
      <c r="F286" t="inlineStr">
        <is>
          <t>OnePlus 13R</t>
        </is>
      </c>
      <c r="G286" t="inlineStr">
        <is>
          <t>2025-01-23</t>
        </is>
      </c>
      <c r="H286" t="n">
        <v>4981</v>
      </c>
      <c r="I286" t="n">
        <v>4898</v>
      </c>
      <c r="J286" t="n">
        <v>18626</v>
      </c>
      <c r="K286" t="inlineStr">
        <is>
          <t>Shipped</t>
        </is>
      </c>
      <c r="L286" t="inlineStr">
        <is>
          <t>In Progress</t>
        </is>
      </c>
    </row>
    <row r="287">
      <c r="A287" t="n">
        <v>286</v>
      </c>
      <c r="B287" t="inlineStr">
        <is>
          <t>Noida Plant</t>
        </is>
      </c>
      <c r="C287" t="inlineStr">
        <is>
          <t>Testing</t>
        </is>
      </c>
      <c r="D287" t="inlineStr">
        <is>
          <t>OnePlus</t>
        </is>
      </c>
      <c r="E287" t="inlineStr">
        <is>
          <t>Smartphone</t>
        </is>
      </c>
      <c r="F287" t="inlineStr">
        <is>
          <t>OnePlus 13</t>
        </is>
      </c>
      <c r="G287" t="inlineStr">
        <is>
          <t>2025-01-03</t>
        </is>
      </c>
      <c r="H287" t="n">
        <v>2207</v>
      </c>
      <c r="I287" t="n">
        <v>2088</v>
      </c>
      <c r="J287" t="n">
        <v>112423</v>
      </c>
      <c r="K287" t="inlineStr">
        <is>
          <t>Pending</t>
        </is>
      </c>
      <c r="L287" t="inlineStr">
        <is>
          <t>In Progress</t>
        </is>
      </c>
    </row>
    <row r="288">
      <c r="A288" t="n">
        <v>287</v>
      </c>
      <c r="B288" t="inlineStr">
        <is>
          <t>Pune Plant</t>
        </is>
      </c>
      <c r="C288" t="inlineStr">
        <is>
          <t>Manufacturing</t>
        </is>
      </c>
      <c r="D288" t="inlineStr">
        <is>
          <t>OnePlus</t>
        </is>
      </c>
      <c r="E288" t="inlineStr">
        <is>
          <t>Smartphone</t>
        </is>
      </c>
      <c r="F288" t="inlineStr">
        <is>
          <t>OnePlus Nord 5</t>
        </is>
      </c>
      <c r="G288" t="inlineStr">
        <is>
          <t>2025-12-16</t>
        </is>
      </c>
      <c r="H288" t="n">
        <v>4891</v>
      </c>
      <c r="I288" t="n">
        <v>4376</v>
      </c>
      <c r="J288" t="n">
        <v>103003</v>
      </c>
      <c r="K288" t="inlineStr">
        <is>
          <t>Pending</t>
        </is>
      </c>
      <c r="L288" t="inlineStr">
        <is>
          <t>In Progress</t>
        </is>
      </c>
    </row>
    <row r="289">
      <c r="A289" t="n">
        <v>288</v>
      </c>
      <c r="B289" t="inlineStr">
        <is>
          <t>Noida Plant</t>
        </is>
      </c>
      <c r="C289" t="inlineStr">
        <is>
          <t>Packaging</t>
        </is>
      </c>
      <c r="D289" t="inlineStr">
        <is>
          <t>OnePlus</t>
        </is>
      </c>
      <c r="E289" t="inlineStr">
        <is>
          <t>Smartphone</t>
        </is>
      </c>
      <c r="F289" t="inlineStr">
        <is>
          <t>OnePlus Nord 5</t>
        </is>
      </c>
      <c r="G289" t="inlineStr">
        <is>
          <t>2025-05-31</t>
        </is>
      </c>
      <c r="H289" t="n">
        <v>3040</v>
      </c>
      <c r="I289" t="n">
        <v>1973</v>
      </c>
      <c r="J289" t="n">
        <v>55486</v>
      </c>
      <c r="K289" t="inlineStr">
        <is>
          <t>Pending</t>
        </is>
      </c>
      <c r="L289" t="inlineStr">
        <is>
          <t>Completed</t>
        </is>
      </c>
    </row>
    <row r="290">
      <c r="A290" t="n">
        <v>289</v>
      </c>
      <c r="B290" t="inlineStr">
        <is>
          <t>Noida Plant</t>
        </is>
      </c>
      <c r="C290" t="inlineStr">
        <is>
          <t>Manufacturing</t>
        </is>
      </c>
      <c r="D290" t="inlineStr">
        <is>
          <t>OnePlus</t>
        </is>
      </c>
      <c r="E290" t="inlineStr">
        <is>
          <t>Smartphone</t>
        </is>
      </c>
      <c r="F290" t="inlineStr">
        <is>
          <t>OnePlus 13R</t>
        </is>
      </c>
      <c r="G290" t="inlineStr">
        <is>
          <t>2025-02-04</t>
        </is>
      </c>
      <c r="H290" t="n">
        <v>2806</v>
      </c>
      <c r="I290" t="n">
        <v>2480</v>
      </c>
      <c r="J290" t="n">
        <v>60915</v>
      </c>
      <c r="K290" t="inlineStr">
        <is>
          <t>Shipped</t>
        </is>
      </c>
      <c r="L290" t="inlineStr">
        <is>
          <t>Completed</t>
        </is>
      </c>
    </row>
    <row r="291">
      <c r="A291" t="n">
        <v>290</v>
      </c>
      <c r="B291" t="inlineStr">
        <is>
          <t>Chennai Plant</t>
        </is>
      </c>
      <c r="C291" t="inlineStr">
        <is>
          <t>Testing</t>
        </is>
      </c>
      <c r="D291" t="inlineStr">
        <is>
          <t>OnePlus</t>
        </is>
      </c>
      <c r="E291" t="inlineStr">
        <is>
          <t>Smartphone</t>
        </is>
      </c>
      <c r="F291" t="inlineStr">
        <is>
          <t>OnePlus 13R</t>
        </is>
      </c>
      <c r="G291" t="inlineStr">
        <is>
          <t>2025-01-25</t>
        </is>
      </c>
      <c r="H291" t="n">
        <v>3067</v>
      </c>
      <c r="I291" t="n">
        <v>2374</v>
      </c>
      <c r="J291" t="n">
        <v>21014</v>
      </c>
      <c r="K291" t="inlineStr">
        <is>
          <t>Shipped</t>
        </is>
      </c>
      <c r="L291" t="inlineStr">
        <is>
          <t>Completed</t>
        </is>
      </c>
    </row>
    <row r="292">
      <c r="A292" t="n">
        <v>291</v>
      </c>
      <c r="B292" t="inlineStr">
        <is>
          <t>Bengaluru Plant</t>
        </is>
      </c>
      <c r="C292" t="inlineStr">
        <is>
          <t>Testing</t>
        </is>
      </c>
      <c r="D292" t="inlineStr">
        <is>
          <t>OnePlus</t>
        </is>
      </c>
      <c r="E292" t="inlineStr">
        <is>
          <t>Smartphone</t>
        </is>
      </c>
      <c r="F292" t="inlineStr">
        <is>
          <t>OnePlus 13</t>
        </is>
      </c>
      <c r="G292" t="inlineStr">
        <is>
          <t>2025-05-08</t>
        </is>
      </c>
      <c r="H292" t="n">
        <v>4254</v>
      </c>
      <c r="I292" t="n">
        <v>3753</v>
      </c>
      <c r="J292" t="n">
        <v>35837</v>
      </c>
      <c r="K292" t="inlineStr">
        <is>
          <t>In Transit</t>
        </is>
      </c>
      <c r="L292" t="inlineStr">
        <is>
          <t>In Progress</t>
        </is>
      </c>
    </row>
    <row r="293">
      <c r="A293" t="n">
        <v>292</v>
      </c>
      <c r="B293" t="inlineStr">
        <is>
          <t>Noida Plant</t>
        </is>
      </c>
      <c r="C293" t="inlineStr">
        <is>
          <t>Testing</t>
        </is>
      </c>
      <c r="D293" t="inlineStr">
        <is>
          <t>OnePlus</t>
        </is>
      </c>
      <c r="E293" t="inlineStr">
        <is>
          <t>Smartphone</t>
        </is>
      </c>
      <c r="F293" t="inlineStr">
        <is>
          <t>OnePlus 13</t>
        </is>
      </c>
      <c r="G293" t="inlineStr">
        <is>
          <t>2025-12-28</t>
        </is>
      </c>
      <c r="H293" t="n">
        <v>3366</v>
      </c>
      <c r="I293" t="n">
        <v>2048</v>
      </c>
      <c r="J293" t="n">
        <v>37644</v>
      </c>
      <c r="K293" t="inlineStr">
        <is>
          <t>In Transit</t>
        </is>
      </c>
      <c r="L293" t="inlineStr">
        <is>
          <t>Completed</t>
        </is>
      </c>
    </row>
    <row r="294">
      <c r="A294" t="n">
        <v>293</v>
      </c>
      <c r="B294" t="inlineStr">
        <is>
          <t>Pune Plant</t>
        </is>
      </c>
      <c r="C294" t="inlineStr">
        <is>
          <t>Testing</t>
        </is>
      </c>
      <c r="D294" t="inlineStr">
        <is>
          <t>OnePlus</t>
        </is>
      </c>
      <c r="E294" t="inlineStr">
        <is>
          <t>Smartphone</t>
        </is>
      </c>
      <c r="F294" t="inlineStr">
        <is>
          <t>OnePlus 13R</t>
        </is>
      </c>
      <c r="G294" t="inlineStr">
        <is>
          <t>2025-08-11</t>
        </is>
      </c>
      <c r="H294" t="n">
        <v>1963</v>
      </c>
      <c r="I294" t="n">
        <v>1334</v>
      </c>
      <c r="J294" t="n">
        <v>100346</v>
      </c>
      <c r="K294" t="inlineStr">
        <is>
          <t>Shipped</t>
        </is>
      </c>
      <c r="L294" t="inlineStr">
        <is>
          <t>In Progress</t>
        </is>
      </c>
    </row>
    <row r="295">
      <c r="A295" t="n">
        <v>294</v>
      </c>
      <c r="B295" t="inlineStr">
        <is>
          <t>Noida Plant</t>
        </is>
      </c>
      <c r="C295" t="inlineStr">
        <is>
          <t>Packaging</t>
        </is>
      </c>
      <c r="D295" t="inlineStr">
        <is>
          <t xml:space="preserve"> OnePlus  </t>
        </is>
      </c>
      <c r="E295" t="inlineStr">
        <is>
          <t>Smartphone</t>
        </is>
      </c>
      <c r="F295" t="inlineStr">
        <is>
          <t>OnePlus 13R</t>
        </is>
      </c>
      <c r="G295" t="inlineStr">
        <is>
          <t>2025-12-23</t>
        </is>
      </c>
      <c r="H295" t="n">
        <v>2944</v>
      </c>
      <c r="I295" t="n">
        <v>1938</v>
      </c>
      <c r="J295" t="n">
        <v>38572</v>
      </c>
      <c r="K295" t="inlineStr">
        <is>
          <t>Shipped</t>
        </is>
      </c>
      <c r="L295" t="inlineStr">
        <is>
          <t>Completed</t>
        </is>
      </c>
    </row>
    <row r="296">
      <c r="A296" t="n">
        <v>295</v>
      </c>
      <c r="B296" t="inlineStr">
        <is>
          <t>Bengaluru Plant</t>
        </is>
      </c>
      <c r="C296" t="inlineStr">
        <is>
          <t>Testing</t>
        </is>
      </c>
      <c r="D296" t="inlineStr">
        <is>
          <t>OnePlus</t>
        </is>
      </c>
      <c r="E296" t="inlineStr">
        <is>
          <t>Smartphone</t>
        </is>
      </c>
      <c r="F296" t="inlineStr">
        <is>
          <t>OnePlus 13R</t>
        </is>
      </c>
      <c r="G296" t="inlineStr">
        <is>
          <t>2025-04-05</t>
        </is>
      </c>
      <c r="H296" t="n">
        <v>3022</v>
      </c>
      <c r="I296" t="n">
        <v>2986</v>
      </c>
      <c r="J296" t="n">
        <v>22383</v>
      </c>
      <c r="K296" t="inlineStr">
        <is>
          <t>Shipped</t>
        </is>
      </c>
      <c r="L296" t="inlineStr">
        <is>
          <t>Completed</t>
        </is>
      </c>
    </row>
    <row r="297">
      <c r="A297" t="n">
        <v>296</v>
      </c>
      <c r="B297" t="inlineStr">
        <is>
          <t>Bengaluru Plant</t>
        </is>
      </c>
      <c r="C297" t="inlineStr">
        <is>
          <t>Packaging</t>
        </is>
      </c>
      <c r="D297" t="inlineStr">
        <is>
          <t>OnePlus</t>
        </is>
      </c>
      <c r="E297" t="inlineStr">
        <is>
          <t>Smartphone</t>
        </is>
      </c>
      <c r="F297" t="inlineStr">
        <is>
          <t>OnePlus 13R</t>
        </is>
      </c>
      <c r="G297" t="inlineStr">
        <is>
          <t>2025-08-05</t>
        </is>
      </c>
      <c r="H297" t="n">
        <v>3416</v>
      </c>
      <c r="I297" t="n">
        <v>3234</v>
      </c>
      <c r="J297" t="n">
        <v>96668</v>
      </c>
      <c r="K297" t="inlineStr">
        <is>
          <t>Shipped</t>
        </is>
      </c>
      <c r="L297" t="inlineStr">
        <is>
          <t>Completed</t>
        </is>
      </c>
    </row>
    <row r="298">
      <c r="A298" t="n">
        <v>297</v>
      </c>
      <c r="B298" t="inlineStr">
        <is>
          <t>Chennai Plant</t>
        </is>
      </c>
      <c r="C298" t="inlineStr">
        <is>
          <t>Packaging</t>
        </is>
      </c>
      <c r="D298" t="inlineStr">
        <is>
          <t>OnePlus</t>
        </is>
      </c>
      <c r="E298" t="inlineStr">
        <is>
          <t>Smartphone</t>
        </is>
      </c>
      <c r="F298" t="inlineStr">
        <is>
          <t>OnePlus 13R</t>
        </is>
      </c>
      <c r="G298" t="inlineStr">
        <is>
          <t>2025-09-09</t>
        </is>
      </c>
      <c r="H298" t="n">
        <v>4268</v>
      </c>
      <c r="I298" t="n">
        <v>3629</v>
      </c>
      <c r="J298" t="n">
        <v>46119</v>
      </c>
      <c r="K298" t="inlineStr">
        <is>
          <t>Pending</t>
        </is>
      </c>
      <c r="L298" t="inlineStr">
        <is>
          <t>In Progress</t>
        </is>
      </c>
    </row>
    <row r="299">
      <c r="A299" t="n">
        <v>298</v>
      </c>
      <c r="B299" t="inlineStr">
        <is>
          <t>Noida Plant</t>
        </is>
      </c>
      <c r="C299" t="inlineStr">
        <is>
          <t>Assembly</t>
        </is>
      </c>
      <c r="D299" t="inlineStr">
        <is>
          <t>OnePlus</t>
        </is>
      </c>
      <c r="E299" t="inlineStr">
        <is>
          <t>Smartphone</t>
        </is>
      </c>
      <c r="F299" t="inlineStr">
        <is>
          <t>OnePlus 13R</t>
        </is>
      </c>
      <c r="G299" t="inlineStr">
        <is>
          <t>2025-03-14</t>
        </is>
      </c>
      <c r="H299" t="n">
        <v>3066</v>
      </c>
      <c r="I299" t="n">
        <v>2071</v>
      </c>
      <c r="J299" t="n">
        <v>64469</v>
      </c>
      <c r="K299" t="inlineStr">
        <is>
          <t>In Transit</t>
        </is>
      </c>
      <c r="L299" t="inlineStr">
        <is>
          <t>Completed</t>
        </is>
      </c>
    </row>
    <row r="300">
      <c r="A300" t="n">
        <v>299</v>
      </c>
      <c r="B300" t="inlineStr">
        <is>
          <t>Chennai Plant</t>
        </is>
      </c>
      <c r="C300" t="inlineStr">
        <is>
          <t>Packaging</t>
        </is>
      </c>
      <c r="D300" t="inlineStr">
        <is>
          <t>OnePlus</t>
        </is>
      </c>
      <c r="E300" t="inlineStr">
        <is>
          <t>Smartphone</t>
        </is>
      </c>
      <c r="F300" t="inlineStr">
        <is>
          <t>OnePlus Nord 5</t>
        </is>
      </c>
      <c r="G300" t="inlineStr">
        <is>
          <t>2025-01-16</t>
        </is>
      </c>
      <c r="H300" t="n">
        <v>1381</v>
      </c>
      <c r="I300" t="n">
        <v>979</v>
      </c>
      <c r="J300" t="n">
        <v>95278</v>
      </c>
      <c r="K300" t="inlineStr">
        <is>
          <t>Shipped</t>
        </is>
      </c>
      <c r="L300" t="inlineStr">
        <is>
          <t>Completed</t>
        </is>
      </c>
    </row>
    <row r="301">
      <c r="A301" t="n">
        <v>300</v>
      </c>
      <c r="B301" t="inlineStr">
        <is>
          <t>Pune Plant</t>
        </is>
      </c>
      <c r="C301" t="inlineStr">
        <is>
          <t>Assembly</t>
        </is>
      </c>
      <c r="D301" t="inlineStr">
        <is>
          <t>OnePlus</t>
        </is>
      </c>
      <c r="E301" t="inlineStr">
        <is>
          <t>Smartphone</t>
        </is>
      </c>
      <c r="F301" t="inlineStr">
        <is>
          <t>OnePlus Nord 5</t>
        </is>
      </c>
      <c r="G301" t="inlineStr">
        <is>
          <t>2025-05-31</t>
        </is>
      </c>
      <c r="H301" t="n">
        <v>1218</v>
      </c>
      <c r="I301" t="n">
        <v>1201</v>
      </c>
      <c r="J301" t="n">
        <v>91690</v>
      </c>
      <c r="K301" t="inlineStr">
        <is>
          <t>In Transit</t>
        </is>
      </c>
      <c r="L30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1"/>
  <sheetViews>
    <sheetView topLeftCell="F1" workbookViewId="0">
      <selection activeCell="N2" sqref="N1:N291"/>
    </sheetView>
  </sheetViews>
  <sheetFormatPr baseColWidth="8" defaultRowHeight="15" outlineLevelCol="0"/>
  <cols>
    <col width="11.140625" customWidth="1" style="18" min="1" max="1"/>
    <col width="19.7109375" customWidth="1" style="18" min="2" max="2"/>
    <col width="14" bestFit="1" customWidth="1" style="18" min="3" max="3"/>
    <col width="10.140625" customWidth="1" style="18" min="4" max="4"/>
    <col width="11.85546875" bestFit="1" customWidth="1" style="18" min="5" max="5"/>
    <col width="14.85546875" bestFit="1" customWidth="1" style="18" min="6" max="6"/>
    <col width="17.7109375" bestFit="1" customWidth="1" style="18" min="7" max="7"/>
    <col width="20.140625" bestFit="1" customWidth="1" style="18" min="8" max="8"/>
    <col width="15.42578125" bestFit="1" customWidth="1" style="18" min="9" max="9"/>
    <col width="12" bestFit="1" customWidth="1" style="18" min="10" max="10"/>
    <col width="17" bestFit="1" customWidth="1" style="18" min="11" max="11"/>
    <col width="19.85546875" bestFit="1" customWidth="1" style="18" min="12" max="12"/>
    <col width="12.42578125" customWidth="1" style="18" min="13" max="13"/>
    <col width="18" bestFit="1" customWidth="1" style="18" min="14" max="14"/>
    <col width="17.85546875" bestFit="1" customWidth="1" style="18" min="15" max="15"/>
    <col width="17.28515625" customWidth="1" style="18" min="20" max="20"/>
  </cols>
  <sheetData>
    <row r="1" customFormat="1" s="1">
      <c r="A1" s="4" t="inlineStr">
        <is>
          <t>Serial No</t>
        </is>
      </c>
      <c r="B1" s="4" t="inlineStr">
        <is>
          <t>Plant Name</t>
        </is>
      </c>
      <c r="C1" s="4" t="inlineStr">
        <is>
          <t>Plant Type</t>
        </is>
      </c>
      <c r="D1" s="4" t="inlineStr">
        <is>
          <t>Brand</t>
        </is>
      </c>
      <c r="E1" s="4" t="inlineStr">
        <is>
          <t>Product</t>
        </is>
      </c>
      <c r="F1" s="4" t="inlineStr">
        <is>
          <t>Model</t>
        </is>
      </c>
      <c r="G1" s="4" t="inlineStr">
        <is>
          <t>Production Date</t>
        </is>
      </c>
      <c r="H1" s="4" t="inlineStr">
        <is>
          <t>Quantity Produced</t>
        </is>
      </c>
      <c r="I1" s="4" t="inlineStr">
        <is>
          <t>Quantity Sold</t>
        </is>
      </c>
      <c r="J1" s="4" t="inlineStr">
        <is>
          <t>Unit Price</t>
        </is>
      </c>
      <c r="K1" s="4" t="inlineStr">
        <is>
          <t>Shipping Status</t>
        </is>
      </c>
      <c r="L1" s="4" t="inlineStr">
        <is>
          <t>Completion Status</t>
        </is>
      </c>
      <c r="M1" s="4" t="inlineStr">
        <is>
          <t>Revenue</t>
        </is>
      </c>
      <c r="N1" s="4" t="inlineStr">
        <is>
          <t>Revenue (Crores)</t>
        </is>
      </c>
      <c r="O1" s="4" t="inlineStr">
        <is>
          <t>Unsold Quantity</t>
        </is>
      </c>
      <c r="P1" s="4" t="inlineStr">
        <is>
          <t>Month</t>
        </is>
      </c>
      <c r="Q1" s="4" t="inlineStr">
        <is>
          <t>Year</t>
        </is>
      </c>
    </row>
    <row r="2">
      <c r="A2" s="3" t="n">
        <v>1</v>
      </c>
      <c r="B2" s="3" t="inlineStr">
        <is>
          <t>Noida Plant</t>
        </is>
      </c>
      <c r="C2" s="3" t="inlineStr">
        <is>
          <t>Packaging</t>
        </is>
      </c>
      <c r="D2" s="3" t="inlineStr">
        <is>
          <t>Samsung</t>
        </is>
      </c>
      <c r="E2" s="3" t="inlineStr">
        <is>
          <t>Smartphone</t>
        </is>
      </c>
      <c r="F2" s="3" t="inlineStr">
        <is>
          <t>Galaxy A55</t>
        </is>
      </c>
      <c r="G2" s="3" t="inlineStr">
        <is>
          <t>2025-02-22</t>
        </is>
      </c>
      <c r="H2" s="3" t="n">
        <v>4591</v>
      </c>
      <c r="I2" s="3" t="n">
        <v>3732</v>
      </c>
      <c r="J2" s="3" t="n">
        <v>19523</v>
      </c>
      <c r="K2" s="3" t="inlineStr">
        <is>
          <t>Pending</t>
        </is>
      </c>
      <c r="L2" s="3" t="inlineStr">
        <is>
          <t>Completed</t>
        </is>
      </c>
      <c r="M2">
        <f>I2*J2</f>
        <v/>
      </c>
      <c r="N2" s="32">
        <f>ROUND(M2/100000, 0)</f>
        <v/>
      </c>
      <c r="O2">
        <f>H2-I2</f>
        <v/>
      </c>
      <c r="P2">
        <f>TEXT(G2,"mmmm")</f>
        <v/>
      </c>
      <c r="Q2">
        <f>YEAR(G2)</f>
        <v/>
      </c>
    </row>
    <row r="3">
      <c r="A3" s="3" t="n">
        <v>2</v>
      </c>
      <c r="B3" s="3" t="inlineStr">
        <is>
          <t>Bengaluru Plant</t>
        </is>
      </c>
      <c r="C3" s="3" t="inlineStr">
        <is>
          <t>Manufacturing</t>
        </is>
      </c>
      <c r="D3" s="3" t="inlineStr">
        <is>
          <t>Samsung</t>
        </is>
      </c>
      <c r="E3" s="3" t="inlineStr">
        <is>
          <t>Smartphone</t>
        </is>
      </c>
      <c r="F3" s="3" t="inlineStr">
        <is>
          <t>Galaxy M35</t>
        </is>
      </c>
      <c r="G3" s="3" t="inlineStr">
        <is>
          <t>2025-10-26</t>
        </is>
      </c>
      <c r="H3" s="3" t="n">
        <v>4273</v>
      </c>
      <c r="I3" s="3" t="n">
        <v>3023</v>
      </c>
      <c r="J3" s="3" t="n">
        <v>84627</v>
      </c>
      <c r="K3" s="3" t="inlineStr">
        <is>
          <t>In Transit</t>
        </is>
      </c>
      <c r="L3" s="3" t="inlineStr">
        <is>
          <t>In Progress</t>
        </is>
      </c>
      <c r="M3">
        <f>I3*J3</f>
        <v/>
      </c>
      <c r="N3" s="32">
        <f>ROUND(M3/100000, 0)</f>
        <v/>
      </c>
      <c r="O3">
        <f>H3-I3</f>
        <v/>
      </c>
      <c r="P3">
        <f>TEXT(G3,"mmmm")</f>
        <v/>
      </c>
      <c r="Q3">
        <f>YEAR(G3)</f>
        <v/>
      </c>
    </row>
    <row r="4">
      <c r="A4" s="3" t="n">
        <v>3</v>
      </c>
      <c r="B4" s="3" t="inlineStr">
        <is>
          <t>Bengaluru Plant</t>
        </is>
      </c>
      <c r="C4" s="3" t="inlineStr">
        <is>
          <t>Testing</t>
        </is>
      </c>
      <c r="D4" s="3" t="inlineStr">
        <is>
          <t>Samsung</t>
        </is>
      </c>
      <c r="E4" s="3" t="inlineStr">
        <is>
          <t>Smartphone</t>
        </is>
      </c>
      <c r="F4" s="3" t="inlineStr">
        <is>
          <t>Galaxy M35</t>
        </is>
      </c>
      <c r="G4" s="3" t="inlineStr">
        <is>
          <t>2025-08-17</t>
        </is>
      </c>
      <c r="H4" s="3" t="n">
        <v>4734</v>
      </c>
      <c r="I4" s="3" t="n">
        <v>4061</v>
      </c>
      <c r="J4" s="3" t="n">
        <v>45531</v>
      </c>
      <c r="K4" s="3" t="inlineStr">
        <is>
          <t>In Transit</t>
        </is>
      </c>
      <c r="L4" s="3" t="inlineStr">
        <is>
          <t>Completed</t>
        </is>
      </c>
      <c r="M4">
        <f>I4*J4</f>
        <v/>
      </c>
      <c r="N4" s="32">
        <f>ROUND(M4/100000, 0)</f>
        <v/>
      </c>
      <c r="O4">
        <f>H4-I4</f>
        <v/>
      </c>
      <c r="P4">
        <f>TEXT(G4,"mmmm")</f>
        <v/>
      </c>
      <c r="Q4">
        <f>YEAR(G4)</f>
        <v/>
      </c>
    </row>
    <row r="5">
      <c r="A5" s="3" t="n">
        <v>4</v>
      </c>
      <c r="B5" s="3" t="inlineStr">
        <is>
          <t>Noida Plant</t>
        </is>
      </c>
      <c r="C5" s="3" t="inlineStr">
        <is>
          <t>Manufacturing</t>
        </is>
      </c>
      <c r="D5" s="3" t="inlineStr">
        <is>
          <t>Samsung</t>
        </is>
      </c>
      <c r="E5" s="3" t="inlineStr">
        <is>
          <t>Smartphone</t>
        </is>
      </c>
      <c r="F5" s="3" t="inlineStr">
        <is>
          <t>Galaxy A55</t>
        </is>
      </c>
      <c r="G5" s="3" t="inlineStr">
        <is>
          <t>2025-08-22</t>
        </is>
      </c>
      <c r="H5" s="3" t="n">
        <v>2255</v>
      </c>
      <c r="I5" s="3" t="n">
        <v>1609</v>
      </c>
      <c r="J5" s="3" t="n">
        <v>103791</v>
      </c>
      <c r="K5" s="3" t="inlineStr">
        <is>
          <t>Pending</t>
        </is>
      </c>
      <c r="L5" s="3" t="inlineStr">
        <is>
          <t>Completed</t>
        </is>
      </c>
      <c r="M5">
        <f>I5*J5</f>
        <v/>
      </c>
      <c r="N5" s="32">
        <f>ROUND(M5/100000, 0)</f>
        <v/>
      </c>
      <c r="O5">
        <f>H5-I5</f>
        <v/>
      </c>
      <c r="P5">
        <f>TEXT(G5,"mmmm")</f>
        <v/>
      </c>
      <c r="Q5">
        <f>YEAR(G5)</f>
        <v/>
      </c>
    </row>
    <row r="6">
      <c r="A6" s="3" t="n">
        <v>5</v>
      </c>
      <c r="B6" s="3" t="inlineStr">
        <is>
          <t>Sriperumbudur Plant</t>
        </is>
      </c>
      <c r="C6" s="3" t="inlineStr">
        <is>
          <t>Packaging</t>
        </is>
      </c>
      <c r="D6" s="3" t="inlineStr">
        <is>
          <t>Samsung</t>
        </is>
      </c>
      <c r="E6" s="3" t="inlineStr">
        <is>
          <t>Smartphone</t>
        </is>
      </c>
      <c r="F6" s="3" t="inlineStr">
        <is>
          <t>Galaxy S24</t>
        </is>
      </c>
      <c r="G6" s="3" t="inlineStr">
        <is>
          <t>2025-03-22</t>
        </is>
      </c>
      <c r="H6" s="3" t="n">
        <v>957</v>
      </c>
      <c r="I6" s="3" t="n">
        <v>760</v>
      </c>
      <c r="J6" s="3" t="n">
        <v>100782</v>
      </c>
      <c r="K6" s="3" t="inlineStr">
        <is>
          <t>Pending</t>
        </is>
      </c>
      <c r="L6" s="3" t="inlineStr">
        <is>
          <t>In Progress</t>
        </is>
      </c>
      <c r="M6">
        <f>I6*J6</f>
        <v/>
      </c>
      <c r="N6" s="32">
        <f>ROUND(M6/100000, 0)</f>
        <v/>
      </c>
      <c r="O6">
        <f>H6-I6</f>
        <v/>
      </c>
      <c r="P6">
        <f>TEXT(G6,"mmmm")</f>
        <v/>
      </c>
      <c r="Q6">
        <f>YEAR(G6)</f>
        <v/>
      </c>
    </row>
    <row r="7">
      <c r="A7" s="3" t="n">
        <v>6</v>
      </c>
      <c r="B7" s="3" t="inlineStr">
        <is>
          <t>Sriperumbudur Plant</t>
        </is>
      </c>
      <c r="C7" s="3" t="inlineStr">
        <is>
          <t>Testing</t>
        </is>
      </c>
      <c r="D7" s="3" t="inlineStr">
        <is>
          <t>Samsung</t>
        </is>
      </c>
      <c r="E7" s="3" t="inlineStr">
        <is>
          <t>Smartphone</t>
        </is>
      </c>
      <c r="F7" s="3" t="inlineStr">
        <is>
          <t>Galaxy M35</t>
        </is>
      </c>
      <c r="G7" s="3" t="inlineStr">
        <is>
          <t>2025-07-16</t>
        </is>
      </c>
      <c r="H7" s="3" t="n">
        <v>4604</v>
      </c>
      <c r="I7" s="3" t="n">
        <v>3470</v>
      </c>
      <c r="J7" s="3" t="n">
        <v>53473</v>
      </c>
      <c r="K7" s="3" t="inlineStr">
        <is>
          <t>Shipped</t>
        </is>
      </c>
      <c r="L7" s="3" t="inlineStr">
        <is>
          <t>In Progress</t>
        </is>
      </c>
      <c r="M7">
        <f>I7*J7</f>
        <v/>
      </c>
      <c r="N7" s="32">
        <f>ROUND(M7/100000, 0)</f>
        <v/>
      </c>
      <c r="O7">
        <f>H7-I7</f>
        <v/>
      </c>
      <c r="P7">
        <f>TEXT(G7,"mmmm")</f>
        <v/>
      </c>
      <c r="Q7">
        <f>YEAR(G7)</f>
        <v/>
      </c>
    </row>
    <row r="8">
      <c r="A8" s="3" t="n">
        <v>7</v>
      </c>
      <c r="B8" s="3" t="inlineStr">
        <is>
          <t>Bengaluru Plant</t>
        </is>
      </c>
      <c r="C8" s="3" t="inlineStr">
        <is>
          <t>Manufacturing</t>
        </is>
      </c>
      <c r="D8" s="3" t="inlineStr">
        <is>
          <t>Samsung</t>
        </is>
      </c>
      <c r="E8" s="3" t="inlineStr">
        <is>
          <t>Smartphone</t>
        </is>
      </c>
      <c r="F8" s="3" t="inlineStr">
        <is>
          <t>Galaxy S24</t>
        </is>
      </c>
      <c r="G8" s="3" t="inlineStr">
        <is>
          <t>2025-05-17</t>
        </is>
      </c>
      <c r="H8" s="3" t="n">
        <v>2411</v>
      </c>
      <c r="I8" s="3" t="n">
        <v>1484</v>
      </c>
      <c r="J8" s="3" t="n">
        <v>13866</v>
      </c>
      <c r="K8" s="3" t="inlineStr">
        <is>
          <t>Pending</t>
        </is>
      </c>
      <c r="L8" s="3" t="inlineStr">
        <is>
          <t>In Progress</t>
        </is>
      </c>
      <c r="M8">
        <f>I8*J8</f>
        <v/>
      </c>
      <c r="N8" s="32">
        <f>ROUND(M8/100000, 0)</f>
        <v/>
      </c>
      <c r="O8">
        <f>H8-I8</f>
        <v/>
      </c>
      <c r="P8">
        <f>TEXT(G8,"mmmm")</f>
        <v/>
      </c>
      <c r="Q8">
        <f>YEAR(G8)</f>
        <v/>
      </c>
    </row>
    <row r="9">
      <c r="A9" s="3" t="n">
        <v>8</v>
      </c>
      <c r="B9" s="3" t="inlineStr">
        <is>
          <t>Pune Plant</t>
        </is>
      </c>
      <c r="C9" s="3" t="inlineStr">
        <is>
          <t>Packaging</t>
        </is>
      </c>
      <c r="D9" s="3" t="inlineStr">
        <is>
          <t>Samsung</t>
        </is>
      </c>
      <c r="E9" s="3" t="inlineStr">
        <is>
          <t>Smartphone</t>
        </is>
      </c>
      <c r="F9" s="3" t="inlineStr">
        <is>
          <t>Galaxy M35</t>
        </is>
      </c>
      <c r="G9" s="3" t="inlineStr">
        <is>
          <t>2025-07-10</t>
        </is>
      </c>
      <c r="H9" s="3" t="n">
        <v>536</v>
      </c>
      <c r="I9" s="3" t="n">
        <v>337</v>
      </c>
      <c r="J9" s="3" t="n">
        <v>82994</v>
      </c>
      <c r="K9" s="3" t="inlineStr">
        <is>
          <t>Shipped</t>
        </is>
      </c>
      <c r="L9" s="3" t="inlineStr">
        <is>
          <t>In Progress</t>
        </is>
      </c>
      <c r="M9">
        <f>I9*J9</f>
        <v/>
      </c>
      <c r="N9" s="32">
        <f>ROUND(M9/100000, 0)</f>
        <v/>
      </c>
      <c r="O9">
        <f>H9-I9</f>
        <v/>
      </c>
      <c r="P9">
        <f>TEXT(G9,"mmmm")</f>
        <v/>
      </c>
      <c r="Q9">
        <f>YEAR(G9)</f>
        <v/>
      </c>
    </row>
    <row r="10">
      <c r="A10" s="3" t="n">
        <v>9</v>
      </c>
      <c r="B10" s="3" t="inlineStr">
        <is>
          <t>Noida Plant</t>
        </is>
      </c>
      <c r="C10" s="3" t="inlineStr">
        <is>
          <t>Testing</t>
        </is>
      </c>
      <c r="D10" s="3" t="inlineStr">
        <is>
          <t>Samsung</t>
        </is>
      </c>
      <c r="E10" s="3" t="inlineStr">
        <is>
          <t>Smartphone</t>
        </is>
      </c>
      <c r="F10" s="3" t="inlineStr">
        <is>
          <t>Galaxy A55</t>
        </is>
      </c>
      <c r="G10" s="3" t="inlineStr">
        <is>
          <t>2025-01-24</t>
        </is>
      </c>
      <c r="H10" s="3" t="n">
        <v>511</v>
      </c>
      <c r="I10" s="3" t="n">
        <v>340</v>
      </c>
      <c r="J10" s="3" t="n">
        <v>27053</v>
      </c>
      <c r="K10" s="3" t="inlineStr">
        <is>
          <t>Shipped</t>
        </is>
      </c>
      <c r="L10" s="3" t="inlineStr">
        <is>
          <t>In Progress</t>
        </is>
      </c>
      <c r="M10">
        <f>I10*J10</f>
        <v/>
      </c>
      <c r="N10" s="32">
        <f>ROUND(M10/100000, 0)</f>
        <v/>
      </c>
      <c r="O10">
        <f>H10-I10</f>
        <v/>
      </c>
      <c r="P10">
        <f>TEXT(G10,"mmmm")</f>
        <v/>
      </c>
      <c r="Q10">
        <f>YEAR(G10)</f>
        <v/>
      </c>
    </row>
    <row r="11">
      <c r="A11" s="3" t="n">
        <v>10</v>
      </c>
      <c r="B11" s="3" t="inlineStr">
        <is>
          <t>Noida Plant</t>
        </is>
      </c>
      <c r="C11" s="3" t="inlineStr">
        <is>
          <t>Testing</t>
        </is>
      </c>
      <c r="D11" s="3" t="inlineStr">
        <is>
          <t>Samsung</t>
        </is>
      </c>
      <c r="E11" s="3" t="inlineStr">
        <is>
          <t>Smartphone</t>
        </is>
      </c>
      <c r="F11" s="3" t="inlineStr">
        <is>
          <t>Galaxy M35</t>
        </is>
      </c>
      <c r="G11" s="3" t="inlineStr">
        <is>
          <t>2025-02-28</t>
        </is>
      </c>
      <c r="H11" s="3" t="n">
        <v>1567</v>
      </c>
      <c r="I11" s="3" t="n">
        <v>1147</v>
      </c>
      <c r="J11" s="3" t="n">
        <v>59010</v>
      </c>
      <c r="K11" s="3" t="inlineStr">
        <is>
          <t>Pending</t>
        </is>
      </c>
      <c r="L11" s="3" t="inlineStr">
        <is>
          <t>Completed</t>
        </is>
      </c>
      <c r="M11">
        <f>I11*J11</f>
        <v/>
      </c>
      <c r="N11" s="32">
        <f>ROUND(M11/100000, 0)</f>
        <v/>
      </c>
      <c r="O11">
        <f>H11-I11</f>
        <v/>
      </c>
      <c r="P11">
        <f>TEXT(G11,"mmmm")</f>
        <v/>
      </c>
      <c r="Q11">
        <f>YEAR(G11)</f>
        <v/>
      </c>
    </row>
    <row r="12">
      <c r="A12" s="3" t="n">
        <v>11</v>
      </c>
      <c r="B12" s="3" t="inlineStr">
        <is>
          <t>Pune Plant</t>
        </is>
      </c>
      <c r="C12" s="3" t="inlineStr">
        <is>
          <t>Testing</t>
        </is>
      </c>
      <c r="D12" s="3" t="inlineStr">
        <is>
          <t>Samsung</t>
        </is>
      </c>
      <c r="E12" s="3" t="inlineStr">
        <is>
          <t>Smartphone</t>
        </is>
      </c>
      <c r="F12" s="3" t="inlineStr">
        <is>
          <t>Galaxy A55</t>
        </is>
      </c>
      <c r="G12" s="3" t="inlineStr">
        <is>
          <t>2025-01-09</t>
        </is>
      </c>
      <c r="H12" s="3" t="n">
        <v>2747</v>
      </c>
      <c r="I12" s="3" t="n">
        <v>2074</v>
      </c>
      <c r="J12" s="3" t="n">
        <v>28486</v>
      </c>
      <c r="K12" s="3" t="inlineStr">
        <is>
          <t>In Transit</t>
        </is>
      </c>
      <c r="L12" s="3" t="inlineStr">
        <is>
          <t>In Progress</t>
        </is>
      </c>
      <c r="M12">
        <f>I12*J12</f>
        <v/>
      </c>
      <c r="N12" s="32">
        <f>ROUND(M12/100000, 0)</f>
        <v/>
      </c>
      <c r="O12">
        <f>H12-I12</f>
        <v/>
      </c>
      <c r="P12">
        <f>TEXT(G12,"mmmm")</f>
        <v/>
      </c>
      <c r="Q12">
        <f>YEAR(G12)</f>
        <v/>
      </c>
    </row>
    <row r="13">
      <c r="A13" s="3" t="n">
        <v>12</v>
      </c>
      <c r="B13" s="3" t="inlineStr">
        <is>
          <t>Noida Plant</t>
        </is>
      </c>
      <c r="C13" s="3" t="inlineStr">
        <is>
          <t>Packaging</t>
        </is>
      </c>
      <c r="D13" s="3" t="inlineStr">
        <is>
          <t>Samsung</t>
        </is>
      </c>
      <c r="E13" s="3" t="inlineStr">
        <is>
          <t>Smartphone</t>
        </is>
      </c>
      <c r="F13" s="3" t="inlineStr">
        <is>
          <t>Galaxy A55</t>
        </is>
      </c>
      <c r="G13" s="3" t="inlineStr">
        <is>
          <t>2025-06-10</t>
        </is>
      </c>
      <c r="H13" s="3" t="n">
        <v>1546</v>
      </c>
      <c r="I13" s="3" t="n">
        <v>988</v>
      </c>
      <c r="J13" s="3" t="n">
        <v>36513</v>
      </c>
      <c r="K13" s="3" t="inlineStr">
        <is>
          <t>Shipped</t>
        </is>
      </c>
      <c r="L13" s="3" t="inlineStr">
        <is>
          <t>In Progress</t>
        </is>
      </c>
      <c r="M13">
        <f>I13*J13</f>
        <v/>
      </c>
      <c r="N13" s="32">
        <f>ROUND(M13/100000, 0)</f>
        <v/>
      </c>
      <c r="O13">
        <f>H13-I13</f>
        <v/>
      </c>
      <c r="P13">
        <f>TEXT(G13,"mmmm")</f>
        <v/>
      </c>
      <c r="Q13">
        <f>YEAR(G13)</f>
        <v/>
      </c>
    </row>
    <row r="14">
      <c r="A14" s="3" t="n">
        <v>13</v>
      </c>
      <c r="B14" s="3" t="inlineStr">
        <is>
          <t>Sriperumbudur Plant</t>
        </is>
      </c>
      <c r="C14" s="3" t="inlineStr">
        <is>
          <t>Assembly</t>
        </is>
      </c>
      <c r="D14" s="3" t="inlineStr">
        <is>
          <t>Samsung</t>
        </is>
      </c>
      <c r="E14" s="3" t="inlineStr">
        <is>
          <t>Smartphone</t>
        </is>
      </c>
      <c r="F14" s="3" t="inlineStr">
        <is>
          <t>Galaxy A55</t>
        </is>
      </c>
      <c r="G14" s="3" t="inlineStr">
        <is>
          <t>2025-12-27</t>
        </is>
      </c>
      <c r="H14" s="3" t="n">
        <v>631</v>
      </c>
      <c r="I14" s="3" t="n">
        <v>518</v>
      </c>
      <c r="J14" s="3" t="n">
        <v>18694</v>
      </c>
      <c r="K14" s="3" t="inlineStr">
        <is>
          <t>Shipped</t>
        </is>
      </c>
      <c r="L14" s="3" t="inlineStr">
        <is>
          <t>In Progress</t>
        </is>
      </c>
      <c r="M14">
        <f>I14*J14</f>
        <v/>
      </c>
      <c r="N14" s="32">
        <f>ROUND(M14/100000, 0)</f>
        <v/>
      </c>
      <c r="O14">
        <f>H14-I14</f>
        <v/>
      </c>
      <c r="P14">
        <f>TEXT(G14,"mmmm")</f>
        <v/>
      </c>
      <c r="Q14">
        <f>YEAR(G14)</f>
        <v/>
      </c>
    </row>
    <row r="15">
      <c r="A15" s="3" t="n">
        <v>14</v>
      </c>
      <c r="B15" s="3" t="inlineStr">
        <is>
          <t>Pune Plant</t>
        </is>
      </c>
      <c r="C15" s="3" t="inlineStr">
        <is>
          <t>Manufacturing</t>
        </is>
      </c>
      <c r="D15" s="3" t="inlineStr">
        <is>
          <t>Samsung</t>
        </is>
      </c>
      <c r="E15" s="3" t="inlineStr">
        <is>
          <t>Smartphone</t>
        </is>
      </c>
      <c r="F15" s="3" t="inlineStr">
        <is>
          <t>Galaxy S24</t>
        </is>
      </c>
      <c r="G15" s="3" t="inlineStr">
        <is>
          <t>2025-08-06</t>
        </is>
      </c>
      <c r="H15" s="3" t="n">
        <v>1242</v>
      </c>
      <c r="I15" s="3" t="n">
        <v>798</v>
      </c>
      <c r="J15" s="3" t="n">
        <v>49630</v>
      </c>
      <c r="K15" s="3" t="inlineStr">
        <is>
          <t>Pending</t>
        </is>
      </c>
      <c r="L15" s="3" t="inlineStr">
        <is>
          <t>In Progress</t>
        </is>
      </c>
      <c r="M15">
        <f>I15*J15</f>
        <v/>
      </c>
      <c r="N15" s="32">
        <f>ROUND(M15/100000, 0)</f>
        <v/>
      </c>
      <c r="O15">
        <f>H15-I15</f>
        <v/>
      </c>
      <c r="P15">
        <f>TEXT(G15,"mmmm")</f>
        <v/>
      </c>
      <c r="Q15">
        <f>YEAR(G15)</f>
        <v/>
      </c>
    </row>
    <row r="16">
      <c r="A16" s="3" t="n">
        <v>15</v>
      </c>
      <c r="B16" s="3" t="inlineStr">
        <is>
          <t>Bengaluru Plant</t>
        </is>
      </c>
      <c r="C16" s="3" t="inlineStr">
        <is>
          <t>Manufacturing</t>
        </is>
      </c>
      <c r="D16" s="3" t="inlineStr">
        <is>
          <t>Samsung</t>
        </is>
      </c>
      <c r="E16" s="3" t="inlineStr">
        <is>
          <t>Smartphone</t>
        </is>
      </c>
      <c r="F16" s="3" t="inlineStr">
        <is>
          <t>Galaxy A55</t>
        </is>
      </c>
      <c r="G16" s="3" t="inlineStr">
        <is>
          <t>2025-12-25</t>
        </is>
      </c>
      <c r="H16" s="3" t="n">
        <v>2765</v>
      </c>
      <c r="I16" s="3" t="n">
        <v>2430</v>
      </c>
      <c r="J16" s="3" t="n">
        <v>24856</v>
      </c>
      <c r="K16" s="3" t="inlineStr">
        <is>
          <t>In Transit</t>
        </is>
      </c>
      <c r="L16" s="3" t="inlineStr">
        <is>
          <t>Completed</t>
        </is>
      </c>
      <c r="M16">
        <f>I16*J16</f>
        <v/>
      </c>
      <c r="N16" s="32">
        <f>ROUND(M16/100000, 0)</f>
        <v/>
      </c>
      <c r="O16">
        <f>H16-I16</f>
        <v/>
      </c>
      <c r="P16">
        <f>TEXT(G16,"mmmm")</f>
        <v/>
      </c>
      <c r="Q16">
        <f>YEAR(G16)</f>
        <v/>
      </c>
    </row>
    <row r="17">
      <c r="A17" s="3" t="n">
        <v>16</v>
      </c>
      <c r="B17" s="3" t="inlineStr">
        <is>
          <t>Chennai Plant</t>
        </is>
      </c>
      <c r="C17" s="3" t="inlineStr">
        <is>
          <t>Packaging</t>
        </is>
      </c>
      <c r="D17" s="3" t="inlineStr">
        <is>
          <t>Samsung</t>
        </is>
      </c>
      <c r="E17" s="3" t="inlineStr">
        <is>
          <t>Smartphone</t>
        </is>
      </c>
      <c r="F17" s="3" t="inlineStr">
        <is>
          <t>Galaxy A55</t>
        </is>
      </c>
      <c r="G17" s="3" t="inlineStr">
        <is>
          <t>2025-07-22</t>
        </is>
      </c>
      <c r="H17" s="3" t="n">
        <v>4634</v>
      </c>
      <c r="I17" s="3" t="n">
        <v>3526</v>
      </c>
      <c r="J17" s="3" t="n">
        <v>98581</v>
      </c>
      <c r="K17" s="3" t="inlineStr">
        <is>
          <t>Pending</t>
        </is>
      </c>
      <c r="L17" s="3" t="inlineStr">
        <is>
          <t>In Progress</t>
        </is>
      </c>
      <c r="M17">
        <f>I17*J17</f>
        <v/>
      </c>
      <c r="N17" s="32">
        <f>ROUND(M17/100000, 0)</f>
        <v/>
      </c>
      <c r="O17">
        <f>H17-I17</f>
        <v/>
      </c>
      <c r="P17">
        <f>TEXT(G17,"mmmm")</f>
        <v/>
      </c>
      <c r="Q17">
        <f>YEAR(G17)</f>
        <v/>
      </c>
    </row>
    <row r="18">
      <c r="A18" s="3" t="n">
        <v>17</v>
      </c>
      <c r="B18" s="3" t="inlineStr">
        <is>
          <t>Pune Plant</t>
        </is>
      </c>
      <c r="C18" s="3" t="inlineStr">
        <is>
          <t>Packaging</t>
        </is>
      </c>
      <c r="D18" s="3" t="inlineStr">
        <is>
          <t>Samsung</t>
        </is>
      </c>
      <c r="E18" s="3" t="inlineStr">
        <is>
          <t>Smartphone</t>
        </is>
      </c>
      <c r="F18" s="3" t="inlineStr">
        <is>
          <t>Galaxy M35</t>
        </is>
      </c>
      <c r="G18" s="3" t="inlineStr">
        <is>
          <t>2025-09-09</t>
        </is>
      </c>
      <c r="H18" s="3" t="n">
        <v>2052</v>
      </c>
      <c r="I18" s="3" t="n">
        <v>1286</v>
      </c>
      <c r="J18" s="3" t="n">
        <v>115971</v>
      </c>
      <c r="K18" s="3" t="inlineStr">
        <is>
          <t>Shipped</t>
        </is>
      </c>
      <c r="L18" s="3" t="inlineStr">
        <is>
          <t>Completed</t>
        </is>
      </c>
      <c r="M18">
        <f>I18*J18</f>
        <v/>
      </c>
      <c r="N18" s="32">
        <f>ROUND(M18/100000, 0)</f>
        <v/>
      </c>
      <c r="O18">
        <f>H18-I18</f>
        <v/>
      </c>
      <c r="P18">
        <f>TEXT(G18,"mmmm")</f>
        <v/>
      </c>
      <c r="Q18">
        <f>YEAR(G18)</f>
        <v/>
      </c>
    </row>
    <row r="19">
      <c r="A19" s="3" t="n">
        <v>18</v>
      </c>
      <c r="B19" s="3" t="inlineStr">
        <is>
          <t>Pune Plant</t>
        </is>
      </c>
      <c r="C19" s="3" t="inlineStr">
        <is>
          <t>Assembly</t>
        </is>
      </c>
      <c r="D19" s="3" t="inlineStr">
        <is>
          <t>Samsung</t>
        </is>
      </c>
      <c r="E19" s="3" t="inlineStr">
        <is>
          <t>Smartphone</t>
        </is>
      </c>
      <c r="F19" s="3" t="inlineStr">
        <is>
          <t>Galaxy M35</t>
        </is>
      </c>
      <c r="G19" s="3" t="inlineStr">
        <is>
          <t>2025-06-21</t>
        </is>
      </c>
      <c r="H19" s="3" t="n">
        <v>3764</v>
      </c>
      <c r="I19" s="3" t="n">
        <v>3045</v>
      </c>
      <c r="J19" s="3" t="n">
        <v>85998</v>
      </c>
      <c r="K19" s="3" t="inlineStr">
        <is>
          <t>Shipped</t>
        </is>
      </c>
      <c r="L19" s="3" t="inlineStr">
        <is>
          <t>In Progress</t>
        </is>
      </c>
      <c r="M19">
        <f>I19*J19</f>
        <v/>
      </c>
      <c r="N19" s="32">
        <f>ROUND(M19/100000, 0)</f>
        <v/>
      </c>
      <c r="O19">
        <f>H19-I19</f>
        <v/>
      </c>
      <c r="P19">
        <f>TEXT(G19,"mmmm")</f>
        <v/>
      </c>
      <c r="Q19">
        <f>YEAR(G19)</f>
        <v/>
      </c>
    </row>
    <row r="20">
      <c r="A20" s="3" t="n">
        <v>19</v>
      </c>
      <c r="B20" s="3" t="inlineStr">
        <is>
          <t>Pune Plant</t>
        </is>
      </c>
      <c r="C20" s="3" t="inlineStr">
        <is>
          <t>Testing</t>
        </is>
      </c>
      <c r="D20" s="3" t="inlineStr">
        <is>
          <t>Samsung</t>
        </is>
      </c>
      <c r="E20" s="3" t="inlineStr">
        <is>
          <t>Smartphone</t>
        </is>
      </c>
      <c r="F20" s="3" t="inlineStr">
        <is>
          <t>Galaxy A55</t>
        </is>
      </c>
      <c r="G20" s="3" t="inlineStr">
        <is>
          <t>2025-12-22</t>
        </is>
      </c>
      <c r="H20" s="3" t="n">
        <v>4275</v>
      </c>
      <c r="I20" s="3" t="n">
        <v>3886</v>
      </c>
      <c r="J20" s="3" t="n">
        <v>82825</v>
      </c>
      <c r="K20" s="3" t="inlineStr">
        <is>
          <t>Pending</t>
        </is>
      </c>
      <c r="L20" s="3" t="inlineStr">
        <is>
          <t>In Progress</t>
        </is>
      </c>
      <c r="M20">
        <f>I20*J20</f>
        <v/>
      </c>
      <c r="N20" s="32">
        <f>ROUND(M20/100000, 0)</f>
        <v/>
      </c>
      <c r="O20">
        <f>H20-I20</f>
        <v/>
      </c>
      <c r="P20">
        <f>TEXT(G20,"mmmm")</f>
        <v/>
      </c>
      <c r="Q20">
        <f>YEAR(G20)</f>
        <v/>
      </c>
    </row>
    <row r="21">
      <c r="A21" s="3" t="n">
        <v>20</v>
      </c>
      <c r="B21" s="3" t="inlineStr">
        <is>
          <t>Chennai Plant</t>
        </is>
      </c>
      <c r="C21" s="3" t="inlineStr">
        <is>
          <t>Packaging</t>
        </is>
      </c>
      <c r="D21" s="3" t="inlineStr">
        <is>
          <t>Samsung</t>
        </is>
      </c>
      <c r="E21" s="3" t="inlineStr">
        <is>
          <t>Smartphone</t>
        </is>
      </c>
      <c r="F21" s="3" t="inlineStr">
        <is>
          <t>Galaxy M35</t>
        </is>
      </c>
      <c r="G21" s="3" t="inlineStr">
        <is>
          <t>2025-07-28</t>
        </is>
      </c>
      <c r="H21" s="3" t="n">
        <v>1427</v>
      </c>
      <c r="I21" s="3" t="n">
        <v>1319</v>
      </c>
      <c r="J21" s="3" t="n">
        <v>29151</v>
      </c>
      <c r="K21" s="3" t="inlineStr">
        <is>
          <t>Shipped</t>
        </is>
      </c>
      <c r="L21" s="3" t="inlineStr">
        <is>
          <t>Completed</t>
        </is>
      </c>
      <c r="M21">
        <f>I21*J21</f>
        <v/>
      </c>
      <c r="N21" s="32">
        <f>ROUND(M21/100000, 0)</f>
        <v/>
      </c>
      <c r="O21">
        <f>H21-I21</f>
        <v/>
      </c>
      <c r="P21">
        <f>TEXT(G21,"mmmm")</f>
        <v/>
      </c>
      <c r="Q21">
        <f>YEAR(G21)</f>
        <v/>
      </c>
    </row>
    <row r="22">
      <c r="A22" s="3" t="n">
        <v>21</v>
      </c>
      <c r="B22" s="3" t="inlineStr">
        <is>
          <t>Pune Plant</t>
        </is>
      </c>
      <c r="C22" s="3" t="inlineStr">
        <is>
          <t>Assembly</t>
        </is>
      </c>
      <c r="D22" s="3" t="inlineStr">
        <is>
          <t>Samsung</t>
        </is>
      </c>
      <c r="E22" s="3" t="inlineStr">
        <is>
          <t>Smartphone</t>
        </is>
      </c>
      <c r="F22" s="3" t="inlineStr">
        <is>
          <t>Galaxy A55</t>
        </is>
      </c>
      <c r="G22" s="3" t="inlineStr">
        <is>
          <t>2025-11-07</t>
        </is>
      </c>
      <c r="H22" s="3" t="n">
        <v>4746</v>
      </c>
      <c r="I22" s="3" t="n">
        <v>3112</v>
      </c>
      <c r="J22" s="3" t="n">
        <v>44279</v>
      </c>
      <c r="K22" s="3" t="inlineStr">
        <is>
          <t>Pending</t>
        </is>
      </c>
      <c r="L22" s="3" t="inlineStr">
        <is>
          <t>Completed</t>
        </is>
      </c>
      <c r="M22">
        <f>I22*J22</f>
        <v/>
      </c>
      <c r="N22" s="32">
        <f>ROUND(M22/100000, 0)</f>
        <v/>
      </c>
      <c r="O22">
        <f>H22-I22</f>
        <v/>
      </c>
      <c r="P22">
        <f>TEXT(G22,"mmmm")</f>
        <v/>
      </c>
      <c r="Q22">
        <f>YEAR(G22)</f>
        <v/>
      </c>
    </row>
    <row r="23">
      <c r="A23" s="3" t="n">
        <v>22</v>
      </c>
      <c r="B23" s="3" t="inlineStr">
        <is>
          <t>Noida Plant</t>
        </is>
      </c>
      <c r="C23" s="3" t="inlineStr">
        <is>
          <t>Packaging</t>
        </is>
      </c>
      <c r="D23" s="3" t="inlineStr">
        <is>
          <t>Samsung</t>
        </is>
      </c>
      <c r="E23" s="3" t="inlineStr">
        <is>
          <t>Smartphone</t>
        </is>
      </c>
      <c r="F23" s="3" t="inlineStr">
        <is>
          <t>Galaxy A55</t>
        </is>
      </c>
      <c r="G23" s="3" t="inlineStr">
        <is>
          <t>2025-11-21</t>
        </is>
      </c>
      <c r="H23" s="3" t="n">
        <v>1726</v>
      </c>
      <c r="I23" s="3" t="n">
        <v>1642</v>
      </c>
      <c r="J23" s="3" t="n">
        <v>64091</v>
      </c>
      <c r="K23" s="3" t="inlineStr">
        <is>
          <t>Pending</t>
        </is>
      </c>
      <c r="L23" s="3" t="inlineStr">
        <is>
          <t>Completed</t>
        </is>
      </c>
      <c r="M23">
        <f>I23*J23</f>
        <v/>
      </c>
      <c r="N23" s="32">
        <f>ROUND(M23/100000, 0)</f>
        <v/>
      </c>
      <c r="O23">
        <f>H23-I23</f>
        <v/>
      </c>
      <c r="P23">
        <f>TEXT(G23,"mmmm")</f>
        <v/>
      </c>
      <c r="Q23">
        <f>YEAR(G23)</f>
        <v/>
      </c>
    </row>
    <row r="24">
      <c r="A24" s="3" t="n">
        <v>23</v>
      </c>
      <c r="B24" s="3" t="inlineStr">
        <is>
          <t>Noida Plant</t>
        </is>
      </c>
      <c r="C24" s="3" t="inlineStr">
        <is>
          <t>Manufacturing</t>
        </is>
      </c>
      <c r="D24" s="3" t="inlineStr">
        <is>
          <t>Samsung</t>
        </is>
      </c>
      <c r="E24" s="3" t="inlineStr">
        <is>
          <t>Smartphone</t>
        </is>
      </c>
      <c r="F24" s="3" t="inlineStr">
        <is>
          <t>Galaxy A55</t>
        </is>
      </c>
      <c r="G24" s="3" t="inlineStr">
        <is>
          <t>2025-07-26</t>
        </is>
      </c>
      <c r="H24" s="3" t="n">
        <v>2368</v>
      </c>
      <c r="I24" s="3" t="n">
        <v>1568</v>
      </c>
      <c r="J24" s="3" t="n">
        <v>104667</v>
      </c>
      <c r="K24" s="3" t="inlineStr">
        <is>
          <t>Shipped</t>
        </is>
      </c>
      <c r="L24" s="3" t="inlineStr">
        <is>
          <t>In Progress</t>
        </is>
      </c>
      <c r="M24">
        <f>I24*J24</f>
        <v/>
      </c>
      <c r="N24" s="32">
        <f>ROUND(M24/100000, 0)</f>
        <v/>
      </c>
      <c r="O24">
        <f>H24-I24</f>
        <v/>
      </c>
      <c r="P24">
        <f>TEXT(G24,"mmmm")</f>
        <v/>
      </c>
      <c r="Q24">
        <f>YEAR(G24)</f>
        <v/>
      </c>
    </row>
    <row r="25">
      <c r="A25" s="3" t="n">
        <v>24</v>
      </c>
      <c r="B25" s="3" t="inlineStr">
        <is>
          <t>Noida Plant</t>
        </is>
      </c>
      <c r="C25" s="3" t="inlineStr">
        <is>
          <t>Testing</t>
        </is>
      </c>
      <c r="D25" s="3" t="inlineStr">
        <is>
          <t>Samsung</t>
        </is>
      </c>
      <c r="E25" s="3" t="inlineStr">
        <is>
          <t>Smartphone</t>
        </is>
      </c>
      <c r="F25" s="3" t="inlineStr">
        <is>
          <t>Galaxy S24</t>
        </is>
      </c>
      <c r="G25" s="3" t="inlineStr">
        <is>
          <t>2025-08-04</t>
        </is>
      </c>
      <c r="H25" s="3" t="n">
        <v>2726</v>
      </c>
      <c r="I25" s="3" t="n">
        <v>2011</v>
      </c>
      <c r="J25" s="3" t="n">
        <v>113718</v>
      </c>
      <c r="K25" s="3" t="inlineStr">
        <is>
          <t>In Transit</t>
        </is>
      </c>
      <c r="L25" s="3" t="inlineStr">
        <is>
          <t>In Progress</t>
        </is>
      </c>
      <c r="M25">
        <f>I25*J25</f>
        <v/>
      </c>
      <c r="N25" s="32">
        <f>ROUND(M25/100000, 0)</f>
        <v/>
      </c>
      <c r="O25">
        <f>H25-I25</f>
        <v/>
      </c>
      <c r="P25">
        <f>TEXT(G25,"mmmm")</f>
        <v/>
      </c>
      <c r="Q25">
        <f>YEAR(G25)</f>
        <v/>
      </c>
    </row>
    <row r="26">
      <c r="A26" s="3" t="n">
        <v>26</v>
      </c>
      <c r="B26" s="3" t="inlineStr">
        <is>
          <t>Bengaluru Plant</t>
        </is>
      </c>
      <c r="C26" s="3" t="inlineStr">
        <is>
          <t>Manufacturing</t>
        </is>
      </c>
      <c r="D26" s="3" t="inlineStr">
        <is>
          <t>Samsung</t>
        </is>
      </c>
      <c r="E26" s="3" t="inlineStr">
        <is>
          <t>Smartphone</t>
        </is>
      </c>
      <c r="F26" s="3" t="inlineStr">
        <is>
          <t>Galaxy A55</t>
        </is>
      </c>
      <c r="G26" s="3" t="inlineStr">
        <is>
          <t>2025-02-05</t>
        </is>
      </c>
      <c r="H26" s="3" t="n">
        <v>1612</v>
      </c>
      <c r="I26" s="3" t="n">
        <v>1498</v>
      </c>
      <c r="J26" s="3" t="n">
        <v>45369</v>
      </c>
      <c r="K26" s="3" t="inlineStr">
        <is>
          <t>Shipped</t>
        </is>
      </c>
      <c r="L26" s="3" t="inlineStr">
        <is>
          <t>Completed</t>
        </is>
      </c>
      <c r="M26">
        <f>I26*J26</f>
        <v/>
      </c>
      <c r="N26" s="32">
        <f>ROUND(M26/100000, 0)</f>
        <v/>
      </c>
      <c r="O26">
        <f>H26-I26</f>
        <v/>
      </c>
      <c r="P26">
        <f>TEXT(G26,"mmmm")</f>
        <v/>
      </c>
      <c r="Q26">
        <f>YEAR(G26)</f>
        <v/>
      </c>
    </row>
    <row r="27">
      <c r="A27" s="3" t="n">
        <v>27</v>
      </c>
      <c r="B27" s="3" t="inlineStr">
        <is>
          <t>Sriperumbudur Plant</t>
        </is>
      </c>
      <c r="C27" s="3" t="inlineStr">
        <is>
          <t>Packaging</t>
        </is>
      </c>
      <c r="D27" s="3" t="inlineStr">
        <is>
          <t>Samsung</t>
        </is>
      </c>
      <c r="E27" s="3" t="inlineStr">
        <is>
          <t>Smartphone</t>
        </is>
      </c>
      <c r="F27" s="3" t="inlineStr">
        <is>
          <t>Galaxy M35</t>
        </is>
      </c>
      <c r="G27" s="3" t="inlineStr">
        <is>
          <t>2025-12-08</t>
        </is>
      </c>
      <c r="H27" s="3" t="n">
        <v>783</v>
      </c>
      <c r="I27" s="3" t="n">
        <v>487</v>
      </c>
      <c r="J27" s="3" t="n">
        <v>12284</v>
      </c>
      <c r="K27" s="3" t="inlineStr">
        <is>
          <t>Shipped</t>
        </is>
      </c>
      <c r="L27" s="3" t="inlineStr">
        <is>
          <t>Completed</t>
        </is>
      </c>
      <c r="M27">
        <f>I27*J27</f>
        <v/>
      </c>
      <c r="N27" s="32">
        <f>ROUND(M27/100000, 0)</f>
        <v/>
      </c>
      <c r="O27">
        <f>H27-I27</f>
        <v/>
      </c>
      <c r="P27">
        <f>TEXT(G27,"mmmm")</f>
        <v/>
      </c>
      <c r="Q27">
        <f>YEAR(G27)</f>
        <v/>
      </c>
    </row>
    <row r="28">
      <c r="A28" s="3" t="n">
        <v>28</v>
      </c>
      <c r="B28" s="3" t="inlineStr">
        <is>
          <t>Pune Plant</t>
        </is>
      </c>
      <c r="C28" s="3" t="inlineStr">
        <is>
          <t>Assembly</t>
        </is>
      </c>
      <c r="D28" s="3" t="inlineStr">
        <is>
          <t>Samsung</t>
        </is>
      </c>
      <c r="E28" s="3" t="inlineStr">
        <is>
          <t>Smartphone</t>
        </is>
      </c>
      <c r="F28" s="3" t="inlineStr">
        <is>
          <t>Galaxy S24</t>
        </is>
      </c>
      <c r="G28" s="3" t="inlineStr">
        <is>
          <t>2025-02-01</t>
        </is>
      </c>
      <c r="H28" s="3" t="n">
        <v>2911</v>
      </c>
      <c r="I28" s="3" t="n">
        <v>2506</v>
      </c>
      <c r="J28" s="3" t="n">
        <v>37848</v>
      </c>
      <c r="K28" s="3" t="inlineStr">
        <is>
          <t>Shipped</t>
        </is>
      </c>
      <c r="L28" s="3" t="inlineStr">
        <is>
          <t>In Progress</t>
        </is>
      </c>
      <c r="M28">
        <f>I28*J28</f>
        <v/>
      </c>
      <c r="N28" s="32">
        <f>ROUND(M28/100000, 0)</f>
        <v/>
      </c>
      <c r="O28">
        <f>H28-I28</f>
        <v/>
      </c>
      <c r="P28">
        <f>TEXT(G28,"mmmm")</f>
        <v/>
      </c>
      <c r="Q28">
        <f>YEAR(G28)</f>
        <v/>
      </c>
    </row>
    <row r="29">
      <c r="A29" s="3" t="n">
        <v>29</v>
      </c>
      <c r="B29" s="3" t="inlineStr">
        <is>
          <t>Pune Plant</t>
        </is>
      </c>
      <c r="C29" s="3" t="inlineStr">
        <is>
          <t>Assembly</t>
        </is>
      </c>
      <c r="D29" s="3" t="inlineStr">
        <is>
          <t>Samsung</t>
        </is>
      </c>
      <c r="E29" s="3" t="inlineStr">
        <is>
          <t>Smartphone</t>
        </is>
      </c>
      <c r="F29" s="3" t="inlineStr">
        <is>
          <t>Galaxy S24</t>
        </is>
      </c>
      <c r="G29" s="3" t="inlineStr">
        <is>
          <t>2025-05-16</t>
        </is>
      </c>
      <c r="H29" s="3" t="n">
        <v>2803</v>
      </c>
      <c r="I29" s="3" t="n">
        <v>2131</v>
      </c>
      <c r="J29" s="3" t="n">
        <v>100587</v>
      </c>
      <c r="K29" s="3" t="inlineStr">
        <is>
          <t>Pending</t>
        </is>
      </c>
      <c r="L29" s="3" t="inlineStr">
        <is>
          <t>In Progress</t>
        </is>
      </c>
      <c r="M29">
        <f>I29*J29</f>
        <v/>
      </c>
      <c r="N29" s="32">
        <f>ROUND(M29/100000, 0)</f>
        <v/>
      </c>
      <c r="O29">
        <f>H29-I29</f>
        <v/>
      </c>
      <c r="P29">
        <f>TEXT(G29,"mmmm")</f>
        <v/>
      </c>
      <c r="Q29">
        <f>YEAR(G29)</f>
        <v/>
      </c>
    </row>
    <row r="30">
      <c r="A30" s="3" t="n">
        <v>30</v>
      </c>
      <c r="B30" s="3" t="inlineStr">
        <is>
          <t>Noida Plant</t>
        </is>
      </c>
      <c r="C30" s="3" t="inlineStr">
        <is>
          <t>Assembly</t>
        </is>
      </c>
      <c r="D30" s="3" t="inlineStr">
        <is>
          <t>Samsung</t>
        </is>
      </c>
      <c r="E30" s="3" t="inlineStr">
        <is>
          <t>Smartphone</t>
        </is>
      </c>
      <c r="F30" s="3" t="inlineStr">
        <is>
          <t>Galaxy S24</t>
        </is>
      </c>
      <c r="G30" s="3" t="inlineStr">
        <is>
          <t>2025-05-17</t>
        </is>
      </c>
      <c r="H30" s="3" t="n">
        <v>2819</v>
      </c>
      <c r="I30" s="3" t="n">
        <v>1800</v>
      </c>
      <c r="J30" s="3" t="n">
        <v>49788</v>
      </c>
      <c r="K30" s="3" t="inlineStr">
        <is>
          <t>Pending</t>
        </is>
      </c>
      <c r="L30" s="3" t="inlineStr">
        <is>
          <t>Completed</t>
        </is>
      </c>
      <c r="M30">
        <f>I30*J30</f>
        <v/>
      </c>
      <c r="N30" s="32">
        <f>ROUND(M30/100000, 0)</f>
        <v/>
      </c>
      <c r="O30">
        <f>H30-I30</f>
        <v/>
      </c>
      <c r="P30">
        <f>TEXT(G30,"mmmm")</f>
        <v/>
      </c>
      <c r="Q30">
        <f>YEAR(G30)</f>
        <v/>
      </c>
    </row>
    <row r="31">
      <c r="A31" s="3" t="n">
        <v>31</v>
      </c>
      <c r="B31" s="3" t="inlineStr">
        <is>
          <t>Pune Plant</t>
        </is>
      </c>
      <c r="C31" s="3" t="inlineStr">
        <is>
          <t>Testing</t>
        </is>
      </c>
      <c r="D31" s="3" t="inlineStr">
        <is>
          <t>Samsung</t>
        </is>
      </c>
      <c r="E31" s="3" t="inlineStr">
        <is>
          <t>Smartphone</t>
        </is>
      </c>
      <c r="F31" s="3" t="inlineStr">
        <is>
          <t>Galaxy A55</t>
        </is>
      </c>
      <c r="G31" s="3" t="inlineStr">
        <is>
          <t>2025-04-19</t>
        </is>
      </c>
      <c r="H31" s="3" t="n">
        <v>3668</v>
      </c>
      <c r="I31" s="3" t="n">
        <v>3124</v>
      </c>
      <c r="J31" s="3" t="n">
        <v>106890</v>
      </c>
      <c r="K31" s="3" t="inlineStr">
        <is>
          <t>Pending</t>
        </is>
      </c>
      <c r="L31" s="3" t="inlineStr">
        <is>
          <t>Completed</t>
        </is>
      </c>
      <c r="M31">
        <f>I31*J31</f>
        <v/>
      </c>
      <c r="N31" s="32">
        <f>ROUND(M31/100000, 0)</f>
        <v/>
      </c>
      <c r="O31">
        <f>H31-I31</f>
        <v/>
      </c>
      <c r="P31">
        <f>TEXT(G31,"mmmm")</f>
        <v/>
      </c>
      <c r="Q31">
        <f>YEAR(G31)</f>
        <v/>
      </c>
    </row>
    <row r="32">
      <c r="A32" s="3" t="n">
        <v>32</v>
      </c>
      <c r="B32" s="3" t="inlineStr">
        <is>
          <t>Bengaluru Plant</t>
        </is>
      </c>
      <c r="C32" s="3" t="inlineStr">
        <is>
          <t>Testing</t>
        </is>
      </c>
      <c r="D32" s="3" t="inlineStr">
        <is>
          <t>Samsung</t>
        </is>
      </c>
      <c r="E32" s="3" t="inlineStr">
        <is>
          <t>Smartphone</t>
        </is>
      </c>
      <c r="F32" s="3" t="inlineStr">
        <is>
          <t>Galaxy M35</t>
        </is>
      </c>
      <c r="G32" s="3" t="inlineStr">
        <is>
          <t>2025-12-29</t>
        </is>
      </c>
      <c r="H32" s="3" t="n">
        <v>2597</v>
      </c>
      <c r="I32" s="3" t="n">
        <v>2110</v>
      </c>
      <c r="J32" s="3" t="n">
        <v>61168</v>
      </c>
      <c r="K32" s="3" t="inlineStr">
        <is>
          <t>In Transit</t>
        </is>
      </c>
      <c r="L32" s="3" t="inlineStr">
        <is>
          <t>Completed</t>
        </is>
      </c>
      <c r="M32">
        <f>I32*J32</f>
        <v/>
      </c>
      <c r="N32" s="32">
        <f>ROUND(M32/100000, 0)</f>
        <v/>
      </c>
      <c r="O32">
        <f>H32-I32</f>
        <v/>
      </c>
      <c r="P32">
        <f>TEXT(G32,"mmmm")</f>
        <v/>
      </c>
      <c r="Q32">
        <f>YEAR(G32)</f>
        <v/>
      </c>
    </row>
    <row r="33">
      <c r="A33" s="3" t="n">
        <v>33</v>
      </c>
      <c r="B33" s="3" t="inlineStr">
        <is>
          <t>Sriperumbudur Plant</t>
        </is>
      </c>
      <c r="C33" s="3" t="inlineStr">
        <is>
          <t>Assembly</t>
        </is>
      </c>
      <c r="D33" s="3" t="inlineStr">
        <is>
          <t>Samsung</t>
        </is>
      </c>
      <c r="E33" s="3" t="inlineStr">
        <is>
          <t>Smartphone</t>
        </is>
      </c>
      <c r="F33" s="3" t="inlineStr">
        <is>
          <t>Galaxy M35</t>
        </is>
      </c>
      <c r="G33" s="3" t="inlineStr">
        <is>
          <t>2025-08-04</t>
        </is>
      </c>
      <c r="H33" s="3" t="n">
        <v>1484</v>
      </c>
      <c r="I33" s="3" t="n">
        <v>1049</v>
      </c>
      <c r="J33" s="3" t="n">
        <v>56819</v>
      </c>
      <c r="K33" s="3" t="inlineStr">
        <is>
          <t>In Transit</t>
        </is>
      </c>
      <c r="L33" s="3" t="inlineStr">
        <is>
          <t>In Progress</t>
        </is>
      </c>
      <c r="M33">
        <f>I33*J33</f>
        <v/>
      </c>
      <c r="N33" s="32">
        <f>ROUND(M33/100000, 0)</f>
        <v/>
      </c>
      <c r="O33">
        <f>H33-I33</f>
        <v/>
      </c>
      <c r="P33">
        <f>TEXT(G33,"mmmm")</f>
        <v/>
      </c>
      <c r="Q33">
        <f>YEAR(G33)</f>
        <v/>
      </c>
    </row>
    <row r="34">
      <c r="A34" s="3" t="n">
        <v>34</v>
      </c>
      <c r="B34" s="3" t="inlineStr">
        <is>
          <t>Sriperumbudur Plant</t>
        </is>
      </c>
      <c r="C34" s="3" t="inlineStr">
        <is>
          <t>Packaging</t>
        </is>
      </c>
      <c r="D34" s="3" t="inlineStr">
        <is>
          <t>Samsung</t>
        </is>
      </c>
      <c r="E34" s="3" t="inlineStr">
        <is>
          <t>Smartphone</t>
        </is>
      </c>
      <c r="F34" s="3" t="inlineStr">
        <is>
          <t>Galaxy S24</t>
        </is>
      </c>
      <c r="G34" s="3" t="inlineStr">
        <is>
          <t>2025-05-08</t>
        </is>
      </c>
      <c r="H34" s="3" t="n">
        <v>4048</v>
      </c>
      <c r="I34" s="3" t="n">
        <v>3550</v>
      </c>
      <c r="J34" s="3" t="n">
        <v>94634</v>
      </c>
      <c r="K34" s="3" t="inlineStr">
        <is>
          <t>Shipped</t>
        </is>
      </c>
      <c r="L34" s="3" t="inlineStr">
        <is>
          <t>Completed</t>
        </is>
      </c>
      <c r="M34">
        <f>I34*J34</f>
        <v/>
      </c>
      <c r="N34" s="32">
        <f>ROUND(M34/100000, 0)</f>
        <v/>
      </c>
      <c r="O34">
        <f>H34-I34</f>
        <v/>
      </c>
      <c r="P34">
        <f>TEXT(G34,"mmmm")</f>
        <v/>
      </c>
      <c r="Q34">
        <f>YEAR(G34)</f>
        <v/>
      </c>
    </row>
    <row r="35">
      <c r="A35" s="3" t="n">
        <v>35</v>
      </c>
      <c r="B35" s="3" t="inlineStr">
        <is>
          <t>Pune Plant</t>
        </is>
      </c>
      <c r="C35" s="3" t="inlineStr">
        <is>
          <t>Assembly</t>
        </is>
      </c>
      <c r="D35" s="3" t="inlineStr">
        <is>
          <t>Samsung</t>
        </is>
      </c>
      <c r="E35" s="3" t="inlineStr">
        <is>
          <t>Smartphone</t>
        </is>
      </c>
      <c r="F35" s="3" t="inlineStr">
        <is>
          <t>Galaxy A55</t>
        </is>
      </c>
      <c r="G35" s="3" t="inlineStr">
        <is>
          <t>2025-01-18</t>
        </is>
      </c>
      <c r="H35" s="3" t="n">
        <v>3322</v>
      </c>
      <c r="I35" s="3" t="n">
        <v>3122</v>
      </c>
      <c r="J35" s="3" t="n">
        <v>25650</v>
      </c>
      <c r="K35" s="3" t="inlineStr">
        <is>
          <t>Shipped</t>
        </is>
      </c>
      <c r="L35" s="3" t="inlineStr">
        <is>
          <t>Completed</t>
        </is>
      </c>
      <c r="M35">
        <f>I35*J35</f>
        <v/>
      </c>
      <c r="N35" s="32">
        <f>ROUND(M35/100000, 0)</f>
        <v/>
      </c>
      <c r="O35">
        <f>H35-I35</f>
        <v/>
      </c>
      <c r="P35">
        <f>TEXT(G35,"mmmm")</f>
        <v/>
      </c>
      <c r="Q35">
        <f>YEAR(G35)</f>
        <v/>
      </c>
    </row>
    <row r="36">
      <c r="A36" s="3" t="n">
        <v>36</v>
      </c>
      <c r="B36" s="3" t="inlineStr">
        <is>
          <t>Chennai Plant</t>
        </is>
      </c>
      <c r="C36" s="3" t="inlineStr">
        <is>
          <t>Testing</t>
        </is>
      </c>
      <c r="D36" s="3" t="inlineStr">
        <is>
          <t>Samsung</t>
        </is>
      </c>
      <c r="E36" s="3" t="inlineStr">
        <is>
          <t>Smartphone</t>
        </is>
      </c>
      <c r="F36" s="3" t="inlineStr">
        <is>
          <t>Galaxy M35</t>
        </is>
      </c>
      <c r="G36" s="3" t="inlineStr">
        <is>
          <t>2025-03-20</t>
        </is>
      </c>
      <c r="H36" s="3" t="n">
        <v>2185</v>
      </c>
      <c r="I36" s="3" t="n">
        <v>1493</v>
      </c>
      <c r="J36" s="3" t="n">
        <v>62847</v>
      </c>
      <c r="K36" s="3" t="inlineStr">
        <is>
          <t>Shipped</t>
        </is>
      </c>
      <c r="L36" s="3" t="inlineStr">
        <is>
          <t>Completed</t>
        </is>
      </c>
      <c r="M36">
        <f>I36*J36</f>
        <v/>
      </c>
      <c r="N36" s="32">
        <f>ROUND(M36/100000, 0)</f>
        <v/>
      </c>
      <c r="O36">
        <f>H36-I36</f>
        <v/>
      </c>
      <c r="P36">
        <f>TEXT(G36,"mmmm")</f>
        <v/>
      </c>
      <c r="Q36">
        <f>YEAR(G36)</f>
        <v/>
      </c>
    </row>
    <row r="37">
      <c r="A37" s="3" t="n">
        <v>37</v>
      </c>
      <c r="B37" s="3" t="inlineStr">
        <is>
          <t>Noida Plant</t>
        </is>
      </c>
      <c r="C37" s="3" t="inlineStr">
        <is>
          <t>Testing</t>
        </is>
      </c>
      <c r="D37" s="3" t="inlineStr">
        <is>
          <t>Samsung</t>
        </is>
      </c>
      <c r="E37" s="3" t="inlineStr">
        <is>
          <t>Smartphone</t>
        </is>
      </c>
      <c r="F37" s="3" t="inlineStr">
        <is>
          <t>Galaxy S24</t>
        </is>
      </c>
      <c r="G37" s="3" t="inlineStr">
        <is>
          <t>2025-09-18</t>
        </is>
      </c>
      <c r="H37" s="3" t="n">
        <v>897</v>
      </c>
      <c r="I37" s="3" t="n">
        <v>756</v>
      </c>
      <c r="J37" s="3" t="n">
        <v>105721</v>
      </c>
      <c r="K37" s="3" t="inlineStr">
        <is>
          <t>Shipped</t>
        </is>
      </c>
      <c r="L37" s="3" t="inlineStr">
        <is>
          <t>In Progress</t>
        </is>
      </c>
      <c r="M37">
        <f>I37*J37</f>
        <v/>
      </c>
      <c r="N37" s="32">
        <f>ROUND(M37/100000, 0)</f>
        <v/>
      </c>
      <c r="O37">
        <f>H37-I37</f>
        <v/>
      </c>
      <c r="P37">
        <f>TEXT(G37,"mmmm")</f>
        <v/>
      </c>
      <c r="Q37">
        <f>YEAR(G37)</f>
        <v/>
      </c>
    </row>
    <row r="38">
      <c r="A38" s="3" t="n">
        <v>38</v>
      </c>
      <c r="B38" s="3" t="inlineStr">
        <is>
          <t>Bengaluru Plant</t>
        </is>
      </c>
      <c r="C38" s="3" t="inlineStr">
        <is>
          <t>Packaging</t>
        </is>
      </c>
      <c r="D38" s="3" t="inlineStr">
        <is>
          <t>Samsung</t>
        </is>
      </c>
      <c r="E38" s="3" t="inlineStr">
        <is>
          <t>Smartphone</t>
        </is>
      </c>
      <c r="F38" s="3" t="inlineStr">
        <is>
          <t>Galaxy M35</t>
        </is>
      </c>
      <c r="G38" s="3" t="inlineStr">
        <is>
          <t>2025-03-18</t>
        </is>
      </c>
      <c r="H38" s="3" t="n">
        <v>3060</v>
      </c>
      <c r="I38" s="3" t="n">
        <v>2568</v>
      </c>
      <c r="J38" s="3" t="n">
        <v>46919</v>
      </c>
      <c r="K38" s="3" t="inlineStr">
        <is>
          <t>Shipped</t>
        </is>
      </c>
      <c r="L38" s="3" t="inlineStr">
        <is>
          <t>In Progress</t>
        </is>
      </c>
      <c r="M38">
        <f>I38*J38</f>
        <v/>
      </c>
      <c r="N38" s="32">
        <f>ROUND(M38/100000, 0)</f>
        <v/>
      </c>
      <c r="O38">
        <f>H38-I38</f>
        <v/>
      </c>
      <c r="P38">
        <f>TEXT(G38,"mmmm")</f>
        <v/>
      </c>
      <c r="Q38">
        <f>YEAR(G38)</f>
        <v/>
      </c>
    </row>
    <row r="39">
      <c r="A39" s="3" t="n">
        <v>39</v>
      </c>
      <c r="B39" s="3" t="inlineStr">
        <is>
          <t>Bengaluru Plant</t>
        </is>
      </c>
      <c r="C39" s="3" t="inlineStr">
        <is>
          <t>Assembly</t>
        </is>
      </c>
      <c r="D39" s="3" t="inlineStr">
        <is>
          <t>Samsung</t>
        </is>
      </c>
      <c r="E39" s="3" t="inlineStr">
        <is>
          <t>Smartphone</t>
        </is>
      </c>
      <c r="F39" s="3" t="inlineStr">
        <is>
          <t>Galaxy S24</t>
        </is>
      </c>
      <c r="G39" s="3" t="inlineStr">
        <is>
          <t>2025-05-09</t>
        </is>
      </c>
      <c r="H39" s="3" t="n">
        <v>4699</v>
      </c>
      <c r="I39" s="3" t="n">
        <v>3900</v>
      </c>
      <c r="J39" s="3" t="n">
        <v>68911</v>
      </c>
      <c r="K39" s="3" t="inlineStr">
        <is>
          <t>Pending</t>
        </is>
      </c>
      <c r="L39" s="3" t="inlineStr">
        <is>
          <t>In Progress</t>
        </is>
      </c>
      <c r="M39">
        <f>I39*J39</f>
        <v/>
      </c>
      <c r="N39" s="32">
        <f>ROUND(M39/100000, 0)</f>
        <v/>
      </c>
      <c r="O39">
        <f>H39-I39</f>
        <v/>
      </c>
      <c r="P39">
        <f>TEXT(G39,"mmmm")</f>
        <v/>
      </c>
      <c r="Q39">
        <f>YEAR(G39)</f>
        <v/>
      </c>
    </row>
    <row r="40">
      <c r="A40" s="3" t="n">
        <v>40</v>
      </c>
      <c r="B40" s="3" t="inlineStr">
        <is>
          <t>Bengaluru Plant</t>
        </is>
      </c>
      <c r="C40" s="3" t="inlineStr">
        <is>
          <t>Assembly</t>
        </is>
      </c>
      <c r="D40" s="3" t="inlineStr">
        <is>
          <t>Samsung</t>
        </is>
      </c>
      <c r="E40" s="3" t="inlineStr">
        <is>
          <t>Smartphone</t>
        </is>
      </c>
      <c r="F40" s="3" t="inlineStr">
        <is>
          <t>Galaxy A55</t>
        </is>
      </c>
      <c r="G40" s="3" t="inlineStr">
        <is>
          <t>2025-05-13</t>
        </is>
      </c>
      <c r="H40" s="3" t="n">
        <v>2257</v>
      </c>
      <c r="I40" s="3" t="n">
        <v>1748</v>
      </c>
      <c r="J40" s="3" t="n">
        <v>33576</v>
      </c>
      <c r="K40" s="3" t="inlineStr">
        <is>
          <t>Shipped</t>
        </is>
      </c>
      <c r="L40" s="3" t="inlineStr">
        <is>
          <t>In Progress</t>
        </is>
      </c>
      <c r="M40">
        <f>I40*J40</f>
        <v/>
      </c>
      <c r="N40" s="32">
        <f>ROUND(M40/100000, 0)</f>
        <v/>
      </c>
      <c r="O40">
        <f>H40-I40</f>
        <v/>
      </c>
      <c r="P40">
        <f>TEXT(G40,"mmmm")</f>
        <v/>
      </c>
      <c r="Q40">
        <f>YEAR(G40)</f>
        <v/>
      </c>
    </row>
    <row r="41">
      <c r="A41" s="3" t="n">
        <v>41</v>
      </c>
      <c r="B41" s="3" t="inlineStr">
        <is>
          <t>Noida Plant</t>
        </is>
      </c>
      <c r="C41" s="3" t="inlineStr">
        <is>
          <t>Manufacturing</t>
        </is>
      </c>
      <c r="D41" s="3" t="inlineStr">
        <is>
          <t>Samsung</t>
        </is>
      </c>
      <c r="E41" s="3" t="inlineStr">
        <is>
          <t>Smartphone</t>
        </is>
      </c>
      <c r="F41" s="3" t="inlineStr">
        <is>
          <t>Galaxy A55</t>
        </is>
      </c>
      <c r="G41" s="3" t="inlineStr">
        <is>
          <t>2025-10-31</t>
        </is>
      </c>
      <c r="H41" s="3" t="n">
        <v>4319</v>
      </c>
      <c r="I41" s="3" t="n">
        <v>4115</v>
      </c>
      <c r="J41" s="3" t="n">
        <v>114579</v>
      </c>
      <c r="K41" s="3" t="inlineStr">
        <is>
          <t>Shipped</t>
        </is>
      </c>
      <c r="L41" s="3" t="inlineStr">
        <is>
          <t>In Progress</t>
        </is>
      </c>
      <c r="M41">
        <f>I41*J41</f>
        <v/>
      </c>
      <c r="N41" s="32">
        <f>ROUND(M41/100000, 0)</f>
        <v/>
      </c>
      <c r="O41">
        <f>H41-I41</f>
        <v/>
      </c>
      <c r="P41">
        <f>TEXT(G41,"mmmm")</f>
        <v/>
      </c>
      <c r="Q41">
        <f>YEAR(G41)</f>
        <v/>
      </c>
    </row>
    <row r="42">
      <c r="A42" s="3" t="n">
        <v>42</v>
      </c>
      <c r="B42" s="3" t="inlineStr">
        <is>
          <t>Sriperumbudur Plant</t>
        </is>
      </c>
      <c r="C42" s="3" t="inlineStr">
        <is>
          <t>Testing</t>
        </is>
      </c>
      <c r="D42" s="3" t="inlineStr">
        <is>
          <t>Samsung</t>
        </is>
      </c>
      <c r="E42" s="3" t="inlineStr">
        <is>
          <t>Smartphone</t>
        </is>
      </c>
      <c r="F42" s="3" t="inlineStr">
        <is>
          <t>Galaxy A55</t>
        </is>
      </c>
      <c r="G42" s="3" t="inlineStr">
        <is>
          <t>2025-09-26</t>
        </is>
      </c>
      <c r="H42" s="3" t="n">
        <v>4760</v>
      </c>
      <c r="I42" s="3" t="n">
        <v>3914</v>
      </c>
      <c r="J42" s="3" t="n">
        <v>46518</v>
      </c>
      <c r="K42" s="3" t="inlineStr">
        <is>
          <t>In Transit</t>
        </is>
      </c>
      <c r="L42" s="3" t="inlineStr">
        <is>
          <t>In Progress</t>
        </is>
      </c>
      <c r="M42">
        <f>I42*J42</f>
        <v/>
      </c>
      <c r="N42" s="32">
        <f>ROUND(M42/100000, 0)</f>
        <v/>
      </c>
      <c r="O42">
        <f>H42-I42</f>
        <v/>
      </c>
      <c r="P42">
        <f>TEXT(G42,"mmmm")</f>
        <v/>
      </c>
      <c r="Q42">
        <f>YEAR(G42)</f>
        <v/>
      </c>
    </row>
    <row r="43">
      <c r="A43" s="3" t="n">
        <v>43</v>
      </c>
      <c r="B43" s="3" t="inlineStr">
        <is>
          <t>Sriperumbudur Plant</t>
        </is>
      </c>
      <c r="C43" s="3" t="inlineStr">
        <is>
          <t>Packaging</t>
        </is>
      </c>
      <c r="D43" s="3" t="inlineStr">
        <is>
          <t>Samsung</t>
        </is>
      </c>
      <c r="E43" s="3" t="inlineStr">
        <is>
          <t>Smartphone</t>
        </is>
      </c>
      <c r="F43" s="3" t="inlineStr">
        <is>
          <t>Galaxy S24</t>
        </is>
      </c>
      <c r="G43" s="3" t="inlineStr">
        <is>
          <t>2025-05-20</t>
        </is>
      </c>
      <c r="H43" s="3" t="n">
        <v>1849</v>
      </c>
      <c r="I43" s="3" t="n">
        <v>1477</v>
      </c>
      <c r="J43" s="3" t="n">
        <v>67860</v>
      </c>
      <c r="K43" s="3" t="inlineStr">
        <is>
          <t>Pending</t>
        </is>
      </c>
      <c r="L43" s="3" t="inlineStr">
        <is>
          <t>Completed</t>
        </is>
      </c>
      <c r="M43">
        <f>I43*J43</f>
        <v/>
      </c>
      <c r="N43" s="32">
        <f>ROUND(M43/100000, 0)</f>
        <v/>
      </c>
      <c r="O43">
        <f>H43-I43</f>
        <v/>
      </c>
      <c r="P43">
        <f>TEXT(G43,"mmmm")</f>
        <v/>
      </c>
      <c r="Q43">
        <f>YEAR(G43)</f>
        <v/>
      </c>
    </row>
    <row r="44">
      <c r="A44" s="3" t="n">
        <v>44</v>
      </c>
      <c r="B44" s="3" t="inlineStr">
        <is>
          <t>Pune Plant</t>
        </is>
      </c>
      <c r="C44" s="3" t="inlineStr">
        <is>
          <t>Manufacturing</t>
        </is>
      </c>
      <c r="D44" s="3" t="inlineStr">
        <is>
          <t>Samsung</t>
        </is>
      </c>
      <c r="E44" s="3" t="inlineStr">
        <is>
          <t>Smartphone</t>
        </is>
      </c>
      <c r="F44" s="3" t="inlineStr">
        <is>
          <t>Galaxy A55</t>
        </is>
      </c>
      <c r="G44" s="3" t="inlineStr">
        <is>
          <t>2025-08-30</t>
        </is>
      </c>
      <c r="H44" s="3" t="n">
        <v>2599</v>
      </c>
      <c r="I44" s="3" t="n">
        <v>2114</v>
      </c>
      <c r="J44" s="3" t="n">
        <v>66780</v>
      </c>
      <c r="K44" s="3" t="inlineStr">
        <is>
          <t>Shipped</t>
        </is>
      </c>
      <c r="L44" s="3" t="inlineStr">
        <is>
          <t>Completed</t>
        </is>
      </c>
      <c r="M44">
        <f>I44*J44</f>
        <v/>
      </c>
      <c r="N44" s="32">
        <f>ROUND(M44/100000, 0)</f>
        <v/>
      </c>
      <c r="O44">
        <f>H44-I44</f>
        <v/>
      </c>
      <c r="P44">
        <f>TEXT(G44,"mmmm")</f>
        <v/>
      </c>
      <c r="Q44">
        <f>YEAR(G44)</f>
        <v/>
      </c>
    </row>
    <row r="45">
      <c r="A45" s="3" t="n">
        <v>45</v>
      </c>
      <c r="B45" s="3" t="inlineStr">
        <is>
          <t>Noida Plant</t>
        </is>
      </c>
      <c r="C45" s="3" t="inlineStr">
        <is>
          <t>Testing</t>
        </is>
      </c>
      <c r="D45" s="3" t="inlineStr">
        <is>
          <t>Samsung</t>
        </is>
      </c>
      <c r="E45" s="3" t="inlineStr">
        <is>
          <t>Smartphone</t>
        </is>
      </c>
      <c r="F45" s="3" t="inlineStr">
        <is>
          <t>Galaxy S24</t>
        </is>
      </c>
      <c r="G45" s="3" t="inlineStr">
        <is>
          <t>2025-04-19</t>
        </is>
      </c>
      <c r="H45" s="3" t="n">
        <v>2320</v>
      </c>
      <c r="I45" s="3" t="n">
        <v>2290</v>
      </c>
      <c r="J45" s="3" t="n">
        <v>67343</v>
      </c>
      <c r="K45" s="3" t="inlineStr">
        <is>
          <t>Pending</t>
        </is>
      </c>
      <c r="L45" s="3" t="inlineStr">
        <is>
          <t>Completed</t>
        </is>
      </c>
      <c r="M45">
        <f>I45*J45</f>
        <v/>
      </c>
      <c r="N45" s="32">
        <f>ROUND(M45/100000, 0)</f>
        <v/>
      </c>
      <c r="O45">
        <f>H45-I45</f>
        <v/>
      </c>
      <c r="P45">
        <f>TEXT(G45,"mmmm")</f>
        <v/>
      </c>
      <c r="Q45">
        <f>YEAR(G45)</f>
        <v/>
      </c>
    </row>
    <row r="46">
      <c r="A46" s="3" t="n">
        <v>46</v>
      </c>
      <c r="B46" s="3" t="inlineStr">
        <is>
          <t>Sriperumbudur Plant</t>
        </is>
      </c>
      <c r="C46" s="3" t="inlineStr">
        <is>
          <t>Assembly</t>
        </is>
      </c>
      <c r="D46" s="3" t="inlineStr">
        <is>
          <t>Samsung</t>
        </is>
      </c>
      <c r="E46" s="3" t="inlineStr">
        <is>
          <t>Smartphone</t>
        </is>
      </c>
      <c r="F46" s="3" t="inlineStr">
        <is>
          <t>Galaxy S24</t>
        </is>
      </c>
      <c r="G46" s="3" t="inlineStr">
        <is>
          <t>2025-06-13</t>
        </is>
      </c>
      <c r="H46" s="3" t="n">
        <v>3365</v>
      </c>
      <c r="I46" s="3" t="n">
        <v>2360</v>
      </c>
      <c r="J46" s="3" t="n">
        <v>31586</v>
      </c>
      <c r="K46" s="3" t="inlineStr">
        <is>
          <t>Shipped</t>
        </is>
      </c>
      <c r="L46" s="3" t="inlineStr">
        <is>
          <t>Completed</t>
        </is>
      </c>
      <c r="M46">
        <f>I46*J46</f>
        <v/>
      </c>
      <c r="N46" s="32">
        <f>ROUND(M46/100000, 0)</f>
        <v/>
      </c>
      <c r="O46">
        <f>H46-I46</f>
        <v/>
      </c>
      <c r="P46">
        <f>TEXT(G46,"mmmm")</f>
        <v/>
      </c>
      <c r="Q46">
        <f>YEAR(G46)</f>
        <v/>
      </c>
    </row>
    <row r="47">
      <c r="A47" s="3" t="n">
        <v>47</v>
      </c>
      <c r="B47" s="3" t="inlineStr">
        <is>
          <t>Chennai Plant</t>
        </is>
      </c>
      <c r="C47" s="3" t="inlineStr">
        <is>
          <t>Assembly</t>
        </is>
      </c>
      <c r="D47" s="3" t="inlineStr">
        <is>
          <t>Samsung</t>
        </is>
      </c>
      <c r="E47" s="3" t="inlineStr">
        <is>
          <t>Smartphone</t>
        </is>
      </c>
      <c r="F47" s="3" t="inlineStr">
        <is>
          <t>Galaxy A55</t>
        </is>
      </c>
      <c r="G47" s="3" t="inlineStr">
        <is>
          <t>2025-03-11</t>
        </is>
      </c>
      <c r="H47" s="3" t="n">
        <v>3261</v>
      </c>
      <c r="I47" s="3" t="n">
        <v>2469</v>
      </c>
      <c r="J47" s="3" t="n">
        <v>117016</v>
      </c>
      <c r="K47" s="3" t="inlineStr">
        <is>
          <t>Shipped</t>
        </is>
      </c>
      <c r="L47" s="3" t="inlineStr">
        <is>
          <t>In Progress</t>
        </is>
      </c>
      <c r="M47">
        <f>I47*J47</f>
        <v/>
      </c>
      <c r="N47" s="32">
        <f>ROUND(M47/100000, 0)</f>
        <v/>
      </c>
      <c r="O47">
        <f>H47-I47</f>
        <v/>
      </c>
      <c r="P47">
        <f>TEXT(G47,"mmmm")</f>
        <v/>
      </c>
      <c r="Q47">
        <f>YEAR(G47)</f>
        <v/>
      </c>
    </row>
    <row r="48">
      <c r="A48" s="3" t="n">
        <v>48</v>
      </c>
      <c r="B48" s="3" t="inlineStr">
        <is>
          <t>Sriperumbudur Plant</t>
        </is>
      </c>
      <c r="C48" s="3" t="inlineStr">
        <is>
          <t>Manufacturing</t>
        </is>
      </c>
      <c r="D48" s="3" t="inlineStr">
        <is>
          <t>Samsung</t>
        </is>
      </c>
      <c r="E48" s="3" t="inlineStr">
        <is>
          <t>Smartphone</t>
        </is>
      </c>
      <c r="F48" s="3" t="inlineStr">
        <is>
          <t>Galaxy S24</t>
        </is>
      </c>
      <c r="G48" s="3" t="inlineStr">
        <is>
          <t>2025-07-30</t>
        </is>
      </c>
      <c r="H48" s="3" t="n">
        <v>1719</v>
      </c>
      <c r="I48" s="3" t="n">
        <v>1151</v>
      </c>
      <c r="J48" s="3" t="n">
        <v>53303</v>
      </c>
      <c r="K48" s="3" t="inlineStr">
        <is>
          <t>In Transit</t>
        </is>
      </c>
      <c r="L48" s="3" t="inlineStr">
        <is>
          <t>In Progress</t>
        </is>
      </c>
      <c r="M48">
        <f>I48*J48</f>
        <v/>
      </c>
      <c r="N48" s="32">
        <f>ROUND(M48/100000, 0)</f>
        <v/>
      </c>
      <c r="O48">
        <f>H48-I48</f>
        <v/>
      </c>
      <c r="P48">
        <f>TEXT(G48,"mmmm")</f>
        <v/>
      </c>
      <c r="Q48">
        <f>YEAR(G48)</f>
        <v/>
      </c>
    </row>
    <row r="49">
      <c r="A49" s="3" t="n">
        <v>49</v>
      </c>
      <c r="B49" s="3" t="inlineStr">
        <is>
          <t>Chennai Plant</t>
        </is>
      </c>
      <c r="C49" s="3" t="inlineStr">
        <is>
          <t>Assembly</t>
        </is>
      </c>
      <c r="D49" s="3" t="inlineStr">
        <is>
          <t>Samsung</t>
        </is>
      </c>
      <c r="E49" s="3" t="inlineStr">
        <is>
          <t>Smartphone</t>
        </is>
      </c>
      <c r="F49" s="3" t="inlineStr">
        <is>
          <t>Galaxy S24</t>
        </is>
      </c>
      <c r="G49" s="3" t="inlineStr">
        <is>
          <t>2025-06-17</t>
        </is>
      </c>
      <c r="H49" s="3" t="n">
        <v>3842</v>
      </c>
      <c r="I49" s="3" t="n">
        <v>2584</v>
      </c>
      <c r="J49" s="3" t="n">
        <v>70554</v>
      </c>
      <c r="K49" s="3" t="inlineStr">
        <is>
          <t>In Transit</t>
        </is>
      </c>
      <c r="L49" s="3" t="inlineStr">
        <is>
          <t>In Progress</t>
        </is>
      </c>
      <c r="M49">
        <f>I49*J49</f>
        <v/>
      </c>
      <c r="N49" s="32">
        <f>ROUND(M49/100000, 0)</f>
        <v/>
      </c>
      <c r="O49">
        <f>H49-I49</f>
        <v/>
      </c>
      <c r="P49">
        <f>TEXT(G49,"mmmm")</f>
        <v/>
      </c>
      <c r="Q49">
        <f>YEAR(G49)</f>
        <v/>
      </c>
    </row>
    <row r="50">
      <c r="A50" s="3" t="n">
        <v>50</v>
      </c>
      <c r="B50" s="3" t="inlineStr">
        <is>
          <t>Pune Plant</t>
        </is>
      </c>
      <c r="C50" s="3" t="inlineStr">
        <is>
          <t>Testing</t>
        </is>
      </c>
      <c r="D50" s="3" t="inlineStr">
        <is>
          <t>Samsung</t>
        </is>
      </c>
      <c r="E50" s="3" t="inlineStr">
        <is>
          <t>Smartphone</t>
        </is>
      </c>
      <c r="F50" s="3" t="inlineStr">
        <is>
          <t>Galaxy A55</t>
        </is>
      </c>
      <c r="G50" s="3" t="inlineStr">
        <is>
          <t>2025-01-29</t>
        </is>
      </c>
      <c r="H50" s="3" t="n">
        <v>3003</v>
      </c>
      <c r="I50" s="3" t="n">
        <v>1884</v>
      </c>
      <c r="J50" s="3" t="n">
        <v>41580</v>
      </c>
      <c r="K50" s="3" t="inlineStr">
        <is>
          <t>In Transit</t>
        </is>
      </c>
      <c r="L50" s="3" t="inlineStr">
        <is>
          <t>In Progress</t>
        </is>
      </c>
      <c r="M50">
        <f>I50*J50</f>
        <v/>
      </c>
      <c r="N50" s="32">
        <f>ROUND(M50/100000, 0)</f>
        <v/>
      </c>
      <c r="O50">
        <f>H50-I50</f>
        <v/>
      </c>
      <c r="P50">
        <f>TEXT(G50,"mmmm")</f>
        <v/>
      </c>
      <c r="Q50">
        <f>YEAR(G50)</f>
        <v/>
      </c>
    </row>
    <row r="51">
      <c r="A51" s="3" t="n">
        <v>51</v>
      </c>
      <c r="B51" s="3" t="inlineStr">
        <is>
          <t>Bengaluru Plant</t>
        </is>
      </c>
      <c r="C51" s="3" t="inlineStr">
        <is>
          <t>Assembly</t>
        </is>
      </c>
      <c r="D51" s="3" t="inlineStr">
        <is>
          <t>Samsung</t>
        </is>
      </c>
      <c r="E51" s="3" t="inlineStr">
        <is>
          <t>Smartphone</t>
        </is>
      </c>
      <c r="F51" s="3" t="inlineStr">
        <is>
          <t>Galaxy M35</t>
        </is>
      </c>
      <c r="G51" s="3" t="inlineStr">
        <is>
          <t>2025-03-28</t>
        </is>
      </c>
      <c r="H51" s="3" t="n">
        <v>3091</v>
      </c>
      <c r="I51" s="3" t="n">
        <v>3061</v>
      </c>
      <c r="J51" s="3" t="n">
        <v>30900</v>
      </c>
      <c r="K51" s="3" t="inlineStr">
        <is>
          <t>Shipped</t>
        </is>
      </c>
      <c r="L51" s="3" t="inlineStr">
        <is>
          <t>Completed</t>
        </is>
      </c>
      <c r="M51">
        <f>I51*J51</f>
        <v/>
      </c>
      <c r="N51" s="32">
        <f>ROUND(M51/100000, 0)</f>
        <v/>
      </c>
      <c r="O51">
        <f>H51-I51</f>
        <v/>
      </c>
      <c r="P51">
        <f>TEXT(G51,"mmmm")</f>
        <v/>
      </c>
      <c r="Q51">
        <f>YEAR(G51)</f>
        <v/>
      </c>
    </row>
    <row r="52">
      <c r="A52" s="3" t="n">
        <v>52</v>
      </c>
      <c r="B52" s="3" t="inlineStr">
        <is>
          <t>Unknown Plant</t>
        </is>
      </c>
      <c r="C52" s="3" t="inlineStr">
        <is>
          <t>Packaging</t>
        </is>
      </c>
      <c r="D52" s="3" t="inlineStr">
        <is>
          <t>Samsung</t>
        </is>
      </c>
      <c r="E52" s="3" t="inlineStr">
        <is>
          <t>Smartphone</t>
        </is>
      </c>
      <c r="F52" s="3" t="inlineStr">
        <is>
          <t>Galaxy M35</t>
        </is>
      </c>
      <c r="G52" s="3" t="inlineStr">
        <is>
          <t>2025-08-07</t>
        </is>
      </c>
      <c r="H52" s="3" t="n">
        <v>1015</v>
      </c>
      <c r="I52" s="3" t="n">
        <v>673</v>
      </c>
      <c r="J52" s="3" t="n">
        <v>62569</v>
      </c>
      <c r="K52" s="3" t="inlineStr">
        <is>
          <t>Shipped</t>
        </is>
      </c>
      <c r="L52" s="3" t="inlineStr">
        <is>
          <t>In Progress</t>
        </is>
      </c>
      <c r="M52">
        <f>I52*J52</f>
        <v/>
      </c>
      <c r="N52" s="32">
        <f>ROUND(M52/100000, 0)</f>
        <v/>
      </c>
      <c r="O52">
        <f>H52-I52</f>
        <v/>
      </c>
      <c r="P52">
        <f>TEXT(G52,"mmmm")</f>
        <v/>
      </c>
      <c r="Q52">
        <f>YEAR(G52)</f>
        <v/>
      </c>
    </row>
    <row r="53">
      <c r="A53" s="3" t="n">
        <v>53</v>
      </c>
      <c r="B53" s="3" t="inlineStr">
        <is>
          <t>Unknown Plant</t>
        </is>
      </c>
      <c r="C53" s="3" t="inlineStr">
        <is>
          <t>Testing</t>
        </is>
      </c>
      <c r="D53" s="3" t="inlineStr">
        <is>
          <t>Samsung</t>
        </is>
      </c>
      <c r="E53" s="3" t="inlineStr">
        <is>
          <t>Smartphone</t>
        </is>
      </c>
      <c r="F53" s="3" t="inlineStr">
        <is>
          <t>Galaxy M35</t>
        </is>
      </c>
      <c r="G53" s="3" t="inlineStr">
        <is>
          <t>2025-02-06</t>
        </is>
      </c>
      <c r="H53" s="3" t="n">
        <v>3608</v>
      </c>
      <c r="I53" s="3" t="n">
        <v>2407</v>
      </c>
      <c r="J53" s="3" t="n">
        <v>48615</v>
      </c>
      <c r="K53" s="3" t="inlineStr">
        <is>
          <t>In Transit</t>
        </is>
      </c>
      <c r="L53" s="3" t="inlineStr">
        <is>
          <t>In Progress</t>
        </is>
      </c>
      <c r="M53">
        <f>I53*J53</f>
        <v/>
      </c>
      <c r="N53" s="32">
        <f>ROUND(M53/100000, 0)</f>
        <v/>
      </c>
      <c r="O53">
        <f>H53-I53</f>
        <v/>
      </c>
      <c r="P53">
        <f>TEXT(G53,"mmmm")</f>
        <v/>
      </c>
      <c r="Q53">
        <f>YEAR(G53)</f>
        <v/>
      </c>
    </row>
    <row r="54">
      <c r="A54" s="3" t="n">
        <v>54</v>
      </c>
      <c r="B54" s="3" t="inlineStr">
        <is>
          <t>Bengaluru Plant</t>
        </is>
      </c>
      <c r="C54" s="3" t="inlineStr">
        <is>
          <t>Testing</t>
        </is>
      </c>
      <c r="D54" s="3" t="inlineStr">
        <is>
          <t>Samsung</t>
        </is>
      </c>
      <c r="E54" s="3" t="inlineStr">
        <is>
          <t>Smartphone</t>
        </is>
      </c>
      <c r="F54" s="3" t="inlineStr">
        <is>
          <t>Galaxy M35</t>
        </is>
      </c>
      <c r="G54" s="3" t="inlineStr">
        <is>
          <t>2025-06-29</t>
        </is>
      </c>
      <c r="H54" s="3" t="n">
        <v>4400</v>
      </c>
      <c r="I54" s="3" t="n">
        <v>3146</v>
      </c>
      <c r="J54" s="3" t="n">
        <v>53462</v>
      </c>
      <c r="K54" s="3" t="inlineStr">
        <is>
          <t>Pending</t>
        </is>
      </c>
      <c r="L54" s="3" t="inlineStr">
        <is>
          <t>Completed</t>
        </is>
      </c>
      <c r="M54">
        <f>I54*J54</f>
        <v/>
      </c>
      <c r="N54" s="32">
        <f>ROUND(M54/100000, 0)</f>
        <v/>
      </c>
      <c r="O54">
        <f>H54-I54</f>
        <v/>
      </c>
      <c r="P54">
        <f>TEXT(G54,"mmmm")</f>
        <v/>
      </c>
      <c r="Q54">
        <f>YEAR(G54)</f>
        <v/>
      </c>
    </row>
    <row r="55">
      <c r="A55" s="3" t="n">
        <v>55</v>
      </c>
      <c r="B55" s="3" t="inlineStr">
        <is>
          <t>Bengaluru Plant</t>
        </is>
      </c>
      <c r="C55" s="3" t="inlineStr">
        <is>
          <t>Assembly</t>
        </is>
      </c>
      <c r="D55" s="3" t="inlineStr">
        <is>
          <t>Samsung</t>
        </is>
      </c>
      <c r="E55" s="3" t="inlineStr">
        <is>
          <t>Smartphone</t>
        </is>
      </c>
      <c r="F55" s="3" t="inlineStr">
        <is>
          <t>Galaxy A55</t>
        </is>
      </c>
      <c r="G55" s="3" t="inlineStr">
        <is>
          <t>2025-02-04</t>
        </is>
      </c>
      <c r="H55" s="3" t="n">
        <v>4009</v>
      </c>
      <c r="I55" s="3" t="n">
        <v>3805</v>
      </c>
      <c r="J55" s="3" t="n">
        <v>113250</v>
      </c>
      <c r="K55" s="3" t="inlineStr">
        <is>
          <t>In Transit</t>
        </is>
      </c>
      <c r="L55" s="3" t="inlineStr">
        <is>
          <t>In Progress</t>
        </is>
      </c>
      <c r="M55">
        <f>I55*J55</f>
        <v/>
      </c>
      <c r="N55" s="32">
        <f>ROUND(M55/100000, 0)</f>
        <v/>
      </c>
      <c r="O55">
        <f>H55-I55</f>
        <v/>
      </c>
      <c r="P55">
        <f>TEXT(G55,"mmmm")</f>
        <v/>
      </c>
      <c r="Q55">
        <f>YEAR(G55)</f>
        <v/>
      </c>
    </row>
    <row r="56">
      <c r="A56" s="3" t="n">
        <v>56</v>
      </c>
      <c r="B56" s="3" t="inlineStr">
        <is>
          <t>Noida Plant</t>
        </is>
      </c>
      <c r="C56" s="3" t="inlineStr">
        <is>
          <t>Testing</t>
        </is>
      </c>
      <c r="D56" s="3" t="inlineStr">
        <is>
          <t>Samsung</t>
        </is>
      </c>
      <c r="E56" s="3" t="inlineStr">
        <is>
          <t>Smartphone</t>
        </is>
      </c>
      <c r="F56" s="3" t="inlineStr">
        <is>
          <t>Galaxy A55</t>
        </is>
      </c>
      <c r="G56" s="3" t="inlineStr">
        <is>
          <t>2025-12-12</t>
        </is>
      </c>
      <c r="H56" s="3" t="n">
        <v>4658</v>
      </c>
      <c r="I56" s="3" t="n">
        <v>2982</v>
      </c>
      <c r="J56" s="3" t="n">
        <v>115861</v>
      </c>
      <c r="K56" s="3" t="inlineStr">
        <is>
          <t>In Transit</t>
        </is>
      </c>
      <c r="L56" s="3" t="inlineStr">
        <is>
          <t>Completed</t>
        </is>
      </c>
      <c r="M56">
        <f>I56*J56</f>
        <v/>
      </c>
      <c r="N56" s="32">
        <f>ROUND(M56/100000, 0)</f>
        <v/>
      </c>
      <c r="O56">
        <f>H56-I56</f>
        <v/>
      </c>
      <c r="P56">
        <f>TEXT(G56,"mmmm")</f>
        <v/>
      </c>
      <c r="Q56">
        <f>YEAR(G56)</f>
        <v/>
      </c>
    </row>
    <row r="57">
      <c r="A57" s="3" t="n">
        <v>57</v>
      </c>
      <c r="B57" s="3" t="inlineStr">
        <is>
          <t>Chennai Plant</t>
        </is>
      </c>
      <c r="C57" s="3" t="inlineStr">
        <is>
          <t>Testing</t>
        </is>
      </c>
      <c r="D57" s="3" t="inlineStr">
        <is>
          <t>Samsung</t>
        </is>
      </c>
      <c r="E57" s="3" t="inlineStr">
        <is>
          <t>Smartphone</t>
        </is>
      </c>
      <c r="F57" s="3" t="inlineStr">
        <is>
          <t>Galaxy M35</t>
        </is>
      </c>
      <c r="G57" s="3" t="inlineStr">
        <is>
          <t>2025-04-18</t>
        </is>
      </c>
      <c r="H57" s="3" t="n">
        <v>4907</v>
      </c>
      <c r="I57" s="3" t="n">
        <v>3017</v>
      </c>
      <c r="J57" s="3" t="n">
        <v>83238</v>
      </c>
      <c r="K57" s="3" t="inlineStr">
        <is>
          <t>In Transit</t>
        </is>
      </c>
      <c r="L57" s="3" t="inlineStr">
        <is>
          <t>Completed</t>
        </is>
      </c>
      <c r="M57">
        <f>I57*J57</f>
        <v/>
      </c>
      <c r="N57" s="32">
        <f>ROUND(M57/100000, 0)</f>
        <v/>
      </c>
      <c r="O57">
        <f>H57-I57</f>
        <v/>
      </c>
      <c r="P57">
        <f>TEXT(G57,"mmmm")</f>
        <v/>
      </c>
      <c r="Q57">
        <f>YEAR(G57)</f>
        <v/>
      </c>
    </row>
    <row r="58">
      <c r="A58" s="3" t="n">
        <v>58</v>
      </c>
      <c r="B58" s="3" t="inlineStr">
        <is>
          <t>Pune Plant</t>
        </is>
      </c>
      <c r="C58" s="3" t="inlineStr">
        <is>
          <t>Manufacturing</t>
        </is>
      </c>
      <c r="D58" s="3" t="inlineStr">
        <is>
          <t>Samsung</t>
        </is>
      </c>
      <c r="E58" s="3" t="inlineStr">
        <is>
          <t>Smartphone</t>
        </is>
      </c>
      <c r="F58" s="3" t="inlineStr">
        <is>
          <t>Galaxy S24</t>
        </is>
      </c>
      <c r="G58" s="3" t="inlineStr">
        <is>
          <t>2025-11-13</t>
        </is>
      </c>
      <c r="H58" s="3" t="n">
        <v>1329</v>
      </c>
      <c r="I58" s="3" t="n">
        <v>832</v>
      </c>
      <c r="J58" s="3" t="n">
        <v>96946</v>
      </c>
      <c r="K58" s="3" t="inlineStr">
        <is>
          <t>In Transit</t>
        </is>
      </c>
      <c r="L58" s="3" t="inlineStr">
        <is>
          <t>In Progress</t>
        </is>
      </c>
      <c r="M58">
        <f>I58*J58</f>
        <v/>
      </c>
      <c r="N58" s="32">
        <f>ROUND(M58/100000, 0)</f>
        <v/>
      </c>
      <c r="O58">
        <f>H58-I58</f>
        <v/>
      </c>
      <c r="P58">
        <f>TEXT(G58,"mmmm")</f>
        <v/>
      </c>
      <c r="Q58">
        <f>YEAR(G58)</f>
        <v/>
      </c>
    </row>
    <row r="59">
      <c r="A59" s="3" t="n">
        <v>59</v>
      </c>
      <c r="B59" s="3" t="inlineStr">
        <is>
          <t>Sriperumbudur Plant</t>
        </is>
      </c>
      <c r="C59" s="3" t="inlineStr">
        <is>
          <t>Testing</t>
        </is>
      </c>
      <c r="D59" s="3" t="inlineStr">
        <is>
          <t>Samsung</t>
        </is>
      </c>
      <c r="E59" s="3" t="inlineStr">
        <is>
          <t>Smartphone</t>
        </is>
      </c>
      <c r="F59" s="3" t="inlineStr">
        <is>
          <t>Galaxy M35</t>
        </is>
      </c>
      <c r="G59" s="3" t="inlineStr">
        <is>
          <t>2025-08-03</t>
        </is>
      </c>
      <c r="H59" s="3" t="n">
        <v>2621</v>
      </c>
      <c r="I59" s="3" t="n">
        <v>1921</v>
      </c>
      <c r="J59" s="3" t="n">
        <v>73247</v>
      </c>
      <c r="K59" s="3" t="inlineStr">
        <is>
          <t>Pending</t>
        </is>
      </c>
      <c r="L59" s="3" t="inlineStr">
        <is>
          <t>Completed</t>
        </is>
      </c>
      <c r="M59">
        <f>I59*J59</f>
        <v/>
      </c>
      <c r="N59" s="32">
        <f>ROUND(M59/100000, 0)</f>
        <v/>
      </c>
      <c r="O59">
        <f>H59-I59</f>
        <v/>
      </c>
      <c r="P59">
        <f>TEXT(G59,"mmmm")</f>
        <v/>
      </c>
      <c r="Q59">
        <f>YEAR(G59)</f>
        <v/>
      </c>
    </row>
    <row r="60">
      <c r="A60" s="3" t="n">
        <v>60</v>
      </c>
      <c r="B60" s="3" t="inlineStr">
        <is>
          <t>Pune Plant</t>
        </is>
      </c>
      <c r="C60" s="3" t="inlineStr">
        <is>
          <t>Testing</t>
        </is>
      </c>
      <c r="D60" s="3" t="inlineStr">
        <is>
          <t>Samsung</t>
        </is>
      </c>
      <c r="E60" s="3" t="inlineStr">
        <is>
          <t>Smartphone</t>
        </is>
      </c>
      <c r="F60" s="3" t="inlineStr">
        <is>
          <t>Galaxy M35</t>
        </is>
      </c>
      <c r="G60" s="3" t="inlineStr">
        <is>
          <t>2025-01-15</t>
        </is>
      </c>
      <c r="H60" s="3" t="n">
        <v>4198</v>
      </c>
      <c r="I60" s="3" t="n">
        <v>4172</v>
      </c>
      <c r="J60" s="3" t="n">
        <v>29307</v>
      </c>
      <c r="K60" s="3" t="inlineStr">
        <is>
          <t>Shipped</t>
        </is>
      </c>
      <c r="L60" s="3" t="inlineStr">
        <is>
          <t>Completed</t>
        </is>
      </c>
      <c r="M60">
        <f>I60*J60</f>
        <v/>
      </c>
      <c r="N60" s="32">
        <f>ROUND(M60/100000, 0)</f>
        <v/>
      </c>
      <c r="O60">
        <f>H60-I60</f>
        <v/>
      </c>
      <c r="P60">
        <f>TEXT(G60,"mmmm")</f>
        <v/>
      </c>
      <c r="Q60">
        <f>YEAR(G60)</f>
        <v/>
      </c>
    </row>
    <row r="61">
      <c r="A61" s="3" t="n">
        <v>61</v>
      </c>
      <c r="B61" s="3" t="inlineStr">
        <is>
          <t>Chennai Plant</t>
        </is>
      </c>
      <c r="C61" s="3" t="inlineStr">
        <is>
          <t>Manufacturing</t>
        </is>
      </c>
      <c r="D61" s="3" t="inlineStr">
        <is>
          <t>Apple</t>
        </is>
      </c>
      <c r="E61" s="3" t="inlineStr">
        <is>
          <t>Smartphone</t>
        </is>
      </c>
      <c r="F61" s="3" t="inlineStr">
        <is>
          <t>iPhone 16</t>
        </is>
      </c>
      <c r="G61" s="3" t="inlineStr">
        <is>
          <t>2025-03-27</t>
        </is>
      </c>
      <c r="H61" s="3" t="n">
        <v>2335</v>
      </c>
      <c r="I61" s="3" t="n">
        <v>2237</v>
      </c>
      <c r="J61" s="3" t="n">
        <v>44124</v>
      </c>
      <c r="K61" s="3" t="inlineStr">
        <is>
          <t>Pending</t>
        </is>
      </c>
      <c r="L61" s="3" t="inlineStr">
        <is>
          <t>Completed</t>
        </is>
      </c>
      <c r="M61">
        <f>I61*J61</f>
        <v/>
      </c>
      <c r="N61" s="32">
        <f>ROUND(M61/100000, 0)</f>
        <v/>
      </c>
      <c r="O61">
        <f>H61-I61</f>
        <v/>
      </c>
      <c r="P61">
        <f>TEXT(G61,"mmmm")</f>
        <v/>
      </c>
      <c r="Q61">
        <f>YEAR(G61)</f>
        <v/>
      </c>
    </row>
    <row r="62">
      <c r="A62" s="3" t="n">
        <v>62</v>
      </c>
      <c r="B62" s="3" t="inlineStr">
        <is>
          <t>Sriperumbudur Plant</t>
        </is>
      </c>
      <c r="C62" s="3" t="inlineStr">
        <is>
          <t>Testing</t>
        </is>
      </c>
      <c r="D62" s="3" t="inlineStr">
        <is>
          <t>Apple</t>
        </is>
      </c>
      <c r="E62" s="3" t="inlineStr">
        <is>
          <t>Smartphone</t>
        </is>
      </c>
      <c r="F62" s="3" t="inlineStr">
        <is>
          <t>iPhone 15</t>
        </is>
      </c>
      <c r="G62" s="3" t="inlineStr">
        <is>
          <t>2025-11-23</t>
        </is>
      </c>
      <c r="H62" s="3" t="n">
        <v>2998</v>
      </c>
      <c r="I62" s="3" t="n">
        <v>2046</v>
      </c>
      <c r="J62" s="3" t="n">
        <v>96244</v>
      </c>
      <c r="K62" s="3" t="inlineStr">
        <is>
          <t>Pending</t>
        </is>
      </c>
      <c r="L62" s="3" t="inlineStr">
        <is>
          <t>Completed</t>
        </is>
      </c>
      <c r="M62">
        <f>I62*J62</f>
        <v/>
      </c>
      <c r="N62" s="32">
        <f>ROUND(M62/100000, 0)</f>
        <v/>
      </c>
      <c r="O62">
        <f>H62-I62</f>
        <v/>
      </c>
      <c r="P62">
        <f>TEXT(G62,"mmmm")</f>
        <v/>
      </c>
      <c r="Q62">
        <f>YEAR(G62)</f>
        <v/>
      </c>
    </row>
    <row r="63">
      <c r="A63" s="3" t="n">
        <v>63</v>
      </c>
      <c r="B63" s="3" t="inlineStr">
        <is>
          <t>Noida Plant</t>
        </is>
      </c>
      <c r="C63" s="3" t="inlineStr">
        <is>
          <t>Manufacturing</t>
        </is>
      </c>
      <c r="D63" s="3" t="inlineStr">
        <is>
          <t>Apple</t>
        </is>
      </c>
      <c r="E63" s="3" t="inlineStr">
        <is>
          <t>Smartphone</t>
        </is>
      </c>
      <c r="F63" s="3" t="inlineStr">
        <is>
          <t>iPhone 16</t>
        </is>
      </c>
      <c r="G63" s="3" t="inlineStr">
        <is>
          <t>2025-08-19</t>
        </is>
      </c>
      <c r="H63" s="3" t="n">
        <v>1238</v>
      </c>
      <c r="I63" s="3" t="n">
        <v>872</v>
      </c>
      <c r="J63" s="3" t="n">
        <v>110413</v>
      </c>
      <c r="K63" s="3" t="inlineStr">
        <is>
          <t>In Transit</t>
        </is>
      </c>
      <c r="L63" s="3" t="inlineStr">
        <is>
          <t>Completed</t>
        </is>
      </c>
      <c r="M63">
        <f>I63*J63</f>
        <v/>
      </c>
      <c r="N63" s="32">
        <f>ROUND(M63/100000, 0)</f>
        <v/>
      </c>
      <c r="O63">
        <f>H63-I63</f>
        <v/>
      </c>
      <c r="P63">
        <f>TEXT(G63,"mmmm")</f>
        <v/>
      </c>
      <c r="Q63">
        <f>YEAR(G63)</f>
        <v/>
      </c>
    </row>
    <row r="64">
      <c r="A64" s="3" t="n">
        <v>64</v>
      </c>
      <c r="B64" s="3" t="inlineStr">
        <is>
          <t>Bengaluru Plant</t>
        </is>
      </c>
      <c r="C64" s="3" t="inlineStr">
        <is>
          <t>Assembly</t>
        </is>
      </c>
      <c r="D64" s="3" t="inlineStr">
        <is>
          <t>Apple</t>
        </is>
      </c>
      <c r="E64" s="3" t="inlineStr">
        <is>
          <t>Smartphone</t>
        </is>
      </c>
      <c r="F64" s="3" t="inlineStr">
        <is>
          <t>iPhone 16</t>
        </is>
      </c>
      <c r="G64" s="3" t="inlineStr">
        <is>
          <t>2025-10-08</t>
        </is>
      </c>
      <c r="H64" s="3" t="n">
        <v>3946</v>
      </c>
      <c r="I64" s="3" t="n">
        <v>2563</v>
      </c>
      <c r="J64" s="3" t="n">
        <v>97923</v>
      </c>
      <c r="K64" s="3" t="inlineStr">
        <is>
          <t>Pending</t>
        </is>
      </c>
      <c r="L64" s="3" t="inlineStr">
        <is>
          <t>Completed</t>
        </is>
      </c>
      <c r="M64">
        <f>I64*J64</f>
        <v/>
      </c>
      <c r="N64" s="32">
        <f>ROUND(M64/100000, 0)</f>
        <v/>
      </c>
      <c r="O64">
        <f>H64-I64</f>
        <v/>
      </c>
      <c r="P64">
        <f>TEXT(G64,"mmmm")</f>
        <v/>
      </c>
      <c r="Q64">
        <f>YEAR(G64)</f>
        <v/>
      </c>
    </row>
    <row r="65">
      <c r="A65" s="3" t="n">
        <v>65</v>
      </c>
      <c r="B65" s="3" t="inlineStr">
        <is>
          <t>Bengaluru Plant</t>
        </is>
      </c>
      <c r="C65" s="3" t="inlineStr">
        <is>
          <t>Packaging</t>
        </is>
      </c>
      <c r="D65" s="3" t="inlineStr">
        <is>
          <t>Apple</t>
        </is>
      </c>
      <c r="E65" s="3" t="inlineStr">
        <is>
          <t>Smartphone</t>
        </is>
      </c>
      <c r="F65" s="3" t="inlineStr">
        <is>
          <t>iPhone 16</t>
        </is>
      </c>
      <c r="G65" s="3" t="inlineStr">
        <is>
          <t>2025-08-25</t>
        </is>
      </c>
      <c r="H65" s="3" t="n">
        <v>739</v>
      </c>
      <c r="I65" s="3" t="n">
        <v>735</v>
      </c>
      <c r="J65" s="3" t="n">
        <v>87242</v>
      </c>
      <c r="K65" s="3" t="inlineStr">
        <is>
          <t>Pending</t>
        </is>
      </c>
      <c r="L65" s="3" t="inlineStr">
        <is>
          <t>In Progress</t>
        </is>
      </c>
      <c r="M65">
        <f>I65*J65</f>
        <v/>
      </c>
      <c r="N65" s="32">
        <f>ROUND(M65/100000, 0)</f>
        <v/>
      </c>
      <c r="O65">
        <f>H65-I65</f>
        <v/>
      </c>
      <c r="P65">
        <f>TEXT(G65,"mmmm")</f>
        <v/>
      </c>
      <c r="Q65">
        <f>YEAR(G65)</f>
        <v/>
      </c>
    </row>
    <row r="66">
      <c r="A66" s="3" t="n">
        <v>66</v>
      </c>
      <c r="B66" s="3" t="inlineStr">
        <is>
          <t>Bengaluru Plant</t>
        </is>
      </c>
      <c r="C66" s="3" t="inlineStr">
        <is>
          <t>Packaging</t>
        </is>
      </c>
      <c r="D66" s="3" t="inlineStr">
        <is>
          <t>Apple</t>
        </is>
      </c>
      <c r="E66" s="3" t="inlineStr">
        <is>
          <t>Smartphone</t>
        </is>
      </c>
      <c r="F66" s="3" t="inlineStr">
        <is>
          <t>iPhone 16</t>
        </is>
      </c>
      <c r="G66" s="3" t="inlineStr">
        <is>
          <t>2025-08-28</t>
        </is>
      </c>
      <c r="H66" s="3" t="n">
        <v>4423</v>
      </c>
      <c r="I66" s="3" t="n">
        <v>3783</v>
      </c>
      <c r="J66" s="3" t="n">
        <v>57138</v>
      </c>
      <c r="K66" s="3" t="inlineStr">
        <is>
          <t>In Transit</t>
        </is>
      </c>
      <c r="L66" s="3" t="inlineStr">
        <is>
          <t>Completed</t>
        </is>
      </c>
      <c r="M66">
        <f>I66*J66</f>
        <v/>
      </c>
      <c r="N66" s="32">
        <f>ROUND(M66/100000, 0)</f>
        <v/>
      </c>
      <c r="O66">
        <f>H66-I66</f>
        <v/>
      </c>
      <c r="P66">
        <f>TEXT(G66,"mmmm")</f>
        <v/>
      </c>
      <c r="Q66">
        <f>YEAR(G66)</f>
        <v/>
      </c>
    </row>
    <row r="67">
      <c r="A67" s="3" t="n">
        <v>67</v>
      </c>
      <c r="B67" s="3" t="inlineStr">
        <is>
          <t>Pune Plant</t>
        </is>
      </c>
      <c r="C67" s="3" t="inlineStr">
        <is>
          <t>Testing</t>
        </is>
      </c>
      <c r="D67" s="3" t="inlineStr">
        <is>
          <t>Apple</t>
        </is>
      </c>
      <c r="E67" s="3" t="inlineStr">
        <is>
          <t>Smartphone</t>
        </is>
      </c>
      <c r="F67" s="3" t="inlineStr">
        <is>
          <t>iPhone 16</t>
        </is>
      </c>
      <c r="G67" s="3" t="inlineStr">
        <is>
          <t>2025-08-25</t>
        </is>
      </c>
      <c r="H67" s="3" t="n">
        <v>2432</v>
      </c>
      <c r="I67" s="3" t="n">
        <v>1736</v>
      </c>
      <c r="J67" s="3" t="n">
        <v>45050</v>
      </c>
      <c r="K67" s="3" t="inlineStr">
        <is>
          <t>Shipped</t>
        </is>
      </c>
      <c r="L67" s="3" t="inlineStr">
        <is>
          <t>In Progress</t>
        </is>
      </c>
      <c r="M67">
        <f>I67*J67</f>
        <v/>
      </c>
      <c r="N67" s="32">
        <f>ROUND(M67/100000, 0)</f>
        <v/>
      </c>
      <c r="O67">
        <f>H67-I67</f>
        <v/>
      </c>
      <c r="P67">
        <f>TEXT(G67,"mmmm")</f>
        <v/>
      </c>
      <c r="Q67">
        <f>YEAR(G67)</f>
        <v/>
      </c>
    </row>
    <row r="68">
      <c r="A68" s="3" t="n">
        <v>68</v>
      </c>
      <c r="B68" s="3" t="inlineStr">
        <is>
          <t>Sriperumbudur Plant</t>
        </is>
      </c>
      <c r="C68" s="3" t="inlineStr">
        <is>
          <t>Testing</t>
        </is>
      </c>
      <c r="D68" s="3" t="inlineStr">
        <is>
          <t>Apple</t>
        </is>
      </c>
      <c r="E68" s="3" t="inlineStr">
        <is>
          <t>Smartphone</t>
        </is>
      </c>
      <c r="F68" s="3" t="inlineStr">
        <is>
          <t>iPhone 15</t>
        </is>
      </c>
      <c r="G68" s="3" t="inlineStr">
        <is>
          <t>2025-12-08</t>
        </is>
      </c>
      <c r="H68" s="3" t="n">
        <v>2603</v>
      </c>
      <c r="I68" s="3" t="n">
        <v>2407</v>
      </c>
      <c r="J68" s="3" t="n">
        <v>104598</v>
      </c>
      <c r="K68" s="3" t="inlineStr">
        <is>
          <t>Pending</t>
        </is>
      </c>
      <c r="L68" s="3" t="inlineStr">
        <is>
          <t>Completed</t>
        </is>
      </c>
      <c r="M68">
        <f>I68*J68</f>
        <v/>
      </c>
      <c r="N68" s="32">
        <f>ROUND(M68/100000, 0)</f>
        <v/>
      </c>
      <c r="O68">
        <f>H68-I68</f>
        <v/>
      </c>
      <c r="P68">
        <f>TEXT(G68,"mmmm")</f>
        <v/>
      </c>
      <c r="Q68">
        <f>YEAR(G68)</f>
        <v/>
      </c>
    </row>
    <row r="69">
      <c r="A69" s="3" t="n">
        <v>70</v>
      </c>
      <c r="B69" s="3" t="inlineStr">
        <is>
          <t>Unknown Plant</t>
        </is>
      </c>
      <c r="C69" s="3" t="inlineStr">
        <is>
          <t>Packaging</t>
        </is>
      </c>
      <c r="D69" s="3" t="inlineStr">
        <is>
          <t>Apple</t>
        </is>
      </c>
      <c r="E69" s="3" t="inlineStr">
        <is>
          <t>Smartphone</t>
        </is>
      </c>
      <c r="F69" s="3" t="inlineStr">
        <is>
          <t>iPhone 15</t>
        </is>
      </c>
      <c r="G69" s="3" t="inlineStr">
        <is>
          <t>2025-02-09</t>
        </is>
      </c>
      <c r="H69" s="3" t="n">
        <v>3049</v>
      </c>
      <c r="I69" s="3" t="n">
        <v>2976</v>
      </c>
      <c r="J69" s="3" t="n">
        <v>57913</v>
      </c>
      <c r="K69" s="3" t="inlineStr">
        <is>
          <t>In Transit</t>
        </is>
      </c>
      <c r="L69" s="3" t="inlineStr">
        <is>
          <t>In Progress</t>
        </is>
      </c>
      <c r="M69">
        <f>I69*J69</f>
        <v/>
      </c>
      <c r="N69" s="32">
        <f>ROUND(M69/100000, 0)</f>
        <v/>
      </c>
      <c r="O69">
        <f>H69-I69</f>
        <v/>
      </c>
      <c r="P69">
        <f>TEXT(G69,"mmmm")</f>
        <v/>
      </c>
      <c r="Q69">
        <f>YEAR(G69)</f>
        <v/>
      </c>
    </row>
    <row r="70">
      <c r="A70" s="3" t="n">
        <v>71</v>
      </c>
      <c r="B70" s="3" t="inlineStr">
        <is>
          <t>Bengaluru Plant</t>
        </is>
      </c>
      <c r="C70" s="3" t="inlineStr">
        <is>
          <t>Testing</t>
        </is>
      </c>
      <c r="D70" s="3" t="inlineStr">
        <is>
          <t>Apple</t>
        </is>
      </c>
      <c r="E70" s="3" t="inlineStr">
        <is>
          <t>Smartphone</t>
        </is>
      </c>
      <c r="F70" s="3" t="inlineStr">
        <is>
          <t>iPhone 16</t>
        </is>
      </c>
      <c r="G70" s="3" t="inlineStr">
        <is>
          <t>2025-09-27</t>
        </is>
      </c>
      <c r="H70" s="3" t="n">
        <v>4066</v>
      </c>
      <c r="I70" s="3" t="n">
        <v>3216</v>
      </c>
      <c r="J70" s="3" t="n">
        <v>85071</v>
      </c>
      <c r="K70" s="3" t="inlineStr">
        <is>
          <t>Pending</t>
        </is>
      </c>
      <c r="L70" s="3" t="inlineStr">
        <is>
          <t>Completed</t>
        </is>
      </c>
      <c r="M70">
        <f>I70*J70</f>
        <v/>
      </c>
      <c r="N70" s="32">
        <f>ROUND(M70/100000, 0)</f>
        <v/>
      </c>
      <c r="O70">
        <f>H70-I70</f>
        <v/>
      </c>
      <c r="P70">
        <f>TEXT(G70,"mmmm")</f>
        <v/>
      </c>
      <c r="Q70">
        <f>YEAR(G70)</f>
        <v/>
      </c>
    </row>
    <row r="71">
      <c r="A71" s="3" t="n">
        <v>72</v>
      </c>
      <c r="B71" s="3" t="inlineStr">
        <is>
          <t>Chennai Plant</t>
        </is>
      </c>
      <c r="C71" s="3" t="inlineStr">
        <is>
          <t>Packaging</t>
        </is>
      </c>
      <c r="D71" s="3" t="inlineStr">
        <is>
          <t>Apple</t>
        </is>
      </c>
      <c r="E71" s="3" t="inlineStr">
        <is>
          <t>Smartphone</t>
        </is>
      </c>
      <c r="F71" s="3" t="inlineStr">
        <is>
          <t>iPhone 16</t>
        </is>
      </c>
      <c r="G71" s="3" t="inlineStr">
        <is>
          <t>2025-12-14</t>
        </is>
      </c>
      <c r="H71" s="3" t="n">
        <v>4685</v>
      </c>
      <c r="I71" s="3" t="n">
        <v>3175</v>
      </c>
      <c r="J71" s="3" t="n">
        <v>93915</v>
      </c>
      <c r="K71" s="3" t="inlineStr">
        <is>
          <t>Shipped</t>
        </is>
      </c>
      <c r="L71" s="3" t="inlineStr">
        <is>
          <t>Completed</t>
        </is>
      </c>
      <c r="M71">
        <f>I71*J71</f>
        <v/>
      </c>
      <c r="N71" s="32">
        <f>ROUND(M71/100000, 0)</f>
        <v/>
      </c>
      <c r="O71">
        <f>H71-I71</f>
        <v/>
      </c>
      <c r="P71">
        <f>TEXT(G71,"mmmm")</f>
        <v/>
      </c>
      <c r="Q71">
        <f>YEAR(G71)</f>
        <v/>
      </c>
    </row>
    <row r="72">
      <c r="A72" s="3" t="n">
        <v>73</v>
      </c>
      <c r="B72" s="3" t="inlineStr">
        <is>
          <t>Pune Plant</t>
        </is>
      </c>
      <c r="C72" s="3" t="inlineStr">
        <is>
          <t>Manufacturing</t>
        </is>
      </c>
      <c r="D72" s="3" t="inlineStr">
        <is>
          <t>Apple</t>
        </is>
      </c>
      <c r="E72" s="3" t="inlineStr">
        <is>
          <t>Smartphone</t>
        </is>
      </c>
      <c r="F72" s="3" t="inlineStr">
        <is>
          <t>iPhone 15</t>
        </is>
      </c>
      <c r="G72" s="3" t="inlineStr">
        <is>
          <t>2025-12-29</t>
        </is>
      </c>
      <c r="H72" s="3" t="n">
        <v>2652</v>
      </c>
      <c r="I72" s="3" t="n">
        <v>2359</v>
      </c>
      <c r="J72" s="3" t="n">
        <v>87314</v>
      </c>
      <c r="K72" s="3" t="inlineStr">
        <is>
          <t>In Transit</t>
        </is>
      </c>
      <c r="L72" s="3" t="inlineStr">
        <is>
          <t>In Progress</t>
        </is>
      </c>
      <c r="M72">
        <f>I72*J72</f>
        <v/>
      </c>
      <c r="N72" s="32">
        <f>ROUND(M72/100000, 0)</f>
        <v/>
      </c>
      <c r="O72">
        <f>H72-I72</f>
        <v/>
      </c>
      <c r="P72">
        <f>TEXT(G72,"mmmm")</f>
        <v/>
      </c>
      <c r="Q72">
        <f>YEAR(G72)</f>
        <v/>
      </c>
    </row>
    <row r="73">
      <c r="A73" s="3" t="n">
        <v>74</v>
      </c>
      <c r="B73" s="3" t="inlineStr">
        <is>
          <t>Unknown Plant</t>
        </is>
      </c>
      <c r="C73" s="3" t="inlineStr">
        <is>
          <t>Assembly</t>
        </is>
      </c>
      <c r="D73" s="3" t="inlineStr">
        <is>
          <t>Apple</t>
        </is>
      </c>
      <c r="E73" s="3" t="inlineStr">
        <is>
          <t>Smartphone</t>
        </is>
      </c>
      <c r="F73" s="3" t="inlineStr">
        <is>
          <t>iPhone 16 Plus</t>
        </is>
      </c>
      <c r="G73" s="3" t="inlineStr">
        <is>
          <t>2025-10-30</t>
        </is>
      </c>
      <c r="H73" s="3" t="n">
        <v>3426</v>
      </c>
      <c r="I73" s="3" t="n">
        <v>2703</v>
      </c>
      <c r="J73" s="3" t="n">
        <v>18687</v>
      </c>
      <c r="K73" s="3" t="inlineStr">
        <is>
          <t>Pending</t>
        </is>
      </c>
      <c r="L73" s="3" t="inlineStr">
        <is>
          <t>Completed</t>
        </is>
      </c>
      <c r="M73">
        <f>I73*J73</f>
        <v/>
      </c>
      <c r="N73" s="32">
        <f>ROUND(M73/100000, 0)</f>
        <v/>
      </c>
      <c r="O73">
        <f>H73-I73</f>
        <v/>
      </c>
      <c r="P73">
        <f>TEXT(G73,"mmmm")</f>
        <v/>
      </c>
      <c r="Q73">
        <f>YEAR(G73)</f>
        <v/>
      </c>
    </row>
    <row r="74">
      <c r="A74" s="3" t="n">
        <v>75</v>
      </c>
      <c r="B74" s="3" t="inlineStr">
        <is>
          <t>Noida Plant</t>
        </is>
      </c>
      <c r="C74" s="3" t="inlineStr">
        <is>
          <t>Testing</t>
        </is>
      </c>
      <c r="D74" s="3" t="inlineStr">
        <is>
          <t>Apple</t>
        </is>
      </c>
      <c r="E74" s="3" t="inlineStr">
        <is>
          <t>Smartphone</t>
        </is>
      </c>
      <c r="F74" s="3" t="inlineStr">
        <is>
          <t>iPhone 15</t>
        </is>
      </c>
      <c r="G74" s="3" t="inlineStr">
        <is>
          <t>2025-02-03</t>
        </is>
      </c>
      <c r="H74" s="3" t="n">
        <v>2960</v>
      </c>
      <c r="I74" s="3" t="n">
        <v>2184</v>
      </c>
      <c r="J74" s="3" t="n">
        <v>81256</v>
      </c>
      <c r="K74" s="3" t="inlineStr">
        <is>
          <t>In Transit</t>
        </is>
      </c>
      <c r="L74" s="3" t="inlineStr">
        <is>
          <t>Completed</t>
        </is>
      </c>
      <c r="M74">
        <f>I74*J74</f>
        <v/>
      </c>
      <c r="N74" s="32">
        <f>ROUND(M74/100000, 0)</f>
        <v/>
      </c>
      <c r="O74">
        <f>H74-I74</f>
        <v/>
      </c>
      <c r="P74">
        <f>TEXT(G74,"mmmm")</f>
        <v/>
      </c>
      <c r="Q74">
        <f>YEAR(G74)</f>
        <v/>
      </c>
    </row>
    <row r="75">
      <c r="A75" s="3" t="n">
        <v>76</v>
      </c>
      <c r="B75" s="3" t="inlineStr">
        <is>
          <t>Bengaluru Plant</t>
        </is>
      </c>
      <c r="C75" s="3" t="inlineStr">
        <is>
          <t>Packaging</t>
        </is>
      </c>
      <c r="D75" s="3" t="inlineStr">
        <is>
          <t>Apple</t>
        </is>
      </c>
      <c r="E75" s="3" t="inlineStr">
        <is>
          <t>Smartphone</t>
        </is>
      </c>
      <c r="F75" s="3" t="inlineStr">
        <is>
          <t>iPhone 15</t>
        </is>
      </c>
      <c r="G75" s="3" t="inlineStr">
        <is>
          <t>2025-07-08</t>
        </is>
      </c>
      <c r="H75" s="3" t="n">
        <v>1552</v>
      </c>
      <c r="I75" s="3" t="n">
        <v>1067</v>
      </c>
      <c r="J75" s="3" t="n">
        <v>23884</v>
      </c>
      <c r="K75" s="3" t="inlineStr">
        <is>
          <t>Shipped</t>
        </is>
      </c>
      <c r="L75" s="3" t="inlineStr">
        <is>
          <t>Completed</t>
        </is>
      </c>
      <c r="M75">
        <f>I75*J75</f>
        <v/>
      </c>
      <c r="N75" s="32">
        <f>ROUND(M75/100000, 0)</f>
        <v/>
      </c>
      <c r="O75">
        <f>H75-I75</f>
        <v/>
      </c>
      <c r="P75">
        <f>TEXT(G75,"mmmm")</f>
        <v/>
      </c>
      <c r="Q75">
        <f>YEAR(G75)</f>
        <v/>
      </c>
    </row>
    <row r="76">
      <c r="A76" s="3" t="n">
        <v>77</v>
      </c>
      <c r="B76" s="3" t="inlineStr">
        <is>
          <t>Chennai Plant</t>
        </is>
      </c>
      <c r="C76" s="3" t="inlineStr">
        <is>
          <t>Packaging</t>
        </is>
      </c>
      <c r="D76" s="3" t="inlineStr">
        <is>
          <t>Apple</t>
        </is>
      </c>
      <c r="E76" s="3" t="inlineStr">
        <is>
          <t>Smartphone</t>
        </is>
      </c>
      <c r="F76" s="3" t="inlineStr">
        <is>
          <t>iPhone 15</t>
        </is>
      </c>
      <c r="G76" s="3" t="inlineStr">
        <is>
          <t>2025-02-27</t>
        </is>
      </c>
      <c r="H76" s="3" t="n">
        <v>1408</v>
      </c>
      <c r="I76" s="3" t="n">
        <v>1261</v>
      </c>
      <c r="J76" s="3" t="n">
        <v>67153</v>
      </c>
      <c r="K76" s="3" t="inlineStr">
        <is>
          <t>In Transit</t>
        </is>
      </c>
      <c r="L76" s="3" t="inlineStr">
        <is>
          <t>In Progress</t>
        </is>
      </c>
      <c r="M76">
        <f>I76*J76</f>
        <v/>
      </c>
      <c r="N76" s="32">
        <f>ROUND(M76/100000, 0)</f>
        <v/>
      </c>
      <c r="O76">
        <f>H76-I76</f>
        <v/>
      </c>
      <c r="P76">
        <f>TEXT(G76,"mmmm")</f>
        <v/>
      </c>
      <c r="Q76">
        <f>YEAR(G76)</f>
        <v/>
      </c>
    </row>
    <row r="77">
      <c r="A77" s="3" t="n">
        <v>78</v>
      </c>
      <c r="B77" s="3" t="inlineStr">
        <is>
          <t>Sriperumbudur Plant</t>
        </is>
      </c>
      <c r="C77" s="3" t="inlineStr">
        <is>
          <t>Assembly</t>
        </is>
      </c>
      <c r="D77" s="3" t="inlineStr">
        <is>
          <t>Apple</t>
        </is>
      </c>
      <c r="E77" s="3" t="inlineStr">
        <is>
          <t>Smartphone</t>
        </is>
      </c>
      <c r="F77" s="3" t="inlineStr">
        <is>
          <t>iPhone 15</t>
        </is>
      </c>
      <c r="G77" s="3" t="inlineStr">
        <is>
          <t>2025-08-26</t>
        </is>
      </c>
      <c r="H77" s="3" t="n">
        <v>1688</v>
      </c>
      <c r="I77" s="3" t="n">
        <v>1362</v>
      </c>
      <c r="J77" s="3" t="n">
        <v>85629</v>
      </c>
      <c r="K77" s="3" t="inlineStr">
        <is>
          <t>In Transit</t>
        </is>
      </c>
      <c r="L77" s="3" t="inlineStr">
        <is>
          <t>In Progress</t>
        </is>
      </c>
      <c r="M77">
        <f>I77*J77</f>
        <v/>
      </c>
      <c r="N77" s="32">
        <f>ROUND(M77/100000, 0)</f>
        <v/>
      </c>
      <c r="O77">
        <f>H77-I77</f>
        <v/>
      </c>
      <c r="P77">
        <f>TEXT(G77,"mmmm")</f>
        <v/>
      </c>
      <c r="Q77">
        <f>YEAR(G77)</f>
        <v/>
      </c>
    </row>
    <row r="78">
      <c r="A78" s="3" t="n">
        <v>79</v>
      </c>
      <c r="B78" s="3" t="inlineStr">
        <is>
          <t>Noida Plant</t>
        </is>
      </c>
      <c r="C78" s="3" t="inlineStr">
        <is>
          <t>Assembly</t>
        </is>
      </c>
      <c r="D78" s="3" t="inlineStr">
        <is>
          <t>Apple</t>
        </is>
      </c>
      <c r="E78" s="3" t="inlineStr">
        <is>
          <t>Smartphone</t>
        </is>
      </c>
      <c r="F78" s="3" t="inlineStr">
        <is>
          <t>iPhone 16 Plus</t>
        </is>
      </c>
      <c r="G78" s="3" t="inlineStr">
        <is>
          <t>2025-08-27</t>
        </is>
      </c>
      <c r="H78" s="3" t="n">
        <v>4465</v>
      </c>
      <c r="I78" s="3" t="n">
        <v>3637</v>
      </c>
      <c r="J78" s="3" t="n">
        <v>93822</v>
      </c>
      <c r="K78" s="3" t="inlineStr">
        <is>
          <t>Shipped</t>
        </is>
      </c>
      <c r="L78" s="3" t="inlineStr">
        <is>
          <t>Completed</t>
        </is>
      </c>
      <c r="M78">
        <f>I78*J78</f>
        <v/>
      </c>
      <c r="N78" s="32">
        <f>ROUND(M78/100000, 0)</f>
        <v/>
      </c>
      <c r="O78">
        <f>H78-I78</f>
        <v/>
      </c>
      <c r="P78">
        <f>TEXT(G78,"mmmm")</f>
        <v/>
      </c>
      <c r="Q78">
        <f>YEAR(G78)</f>
        <v/>
      </c>
    </row>
    <row r="79">
      <c r="A79" s="3" t="n">
        <v>80</v>
      </c>
      <c r="B79" s="3" t="inlineStr">
        <is>
          <t>Pune Plant</t>
        </is>
      </c>
      <c r="C79" s="3" t="inlineStr">
        <is>
          <t>Manufacturing</t>
        </is>
      </c>
      <c r="D79" s="3" t="inlineStr">
        <is>
          <t>Apple</t>
        </is>
      </c>
      <c r="E79" s="3" t="inlineStr">
        <is>
          <t>Smartphone</t>
        </is>
      </c>
      <c r="F79" s="3" t="inlineStr">
        <is>
          <t>iPhone 16 Plus</t>
        </is>
      </c>
      <c r="G79" s="3" t="inlineStr">
        <is>
          <t>2025-03-18</t>
        </is>
      </c>
      <c r="H79" s="3" t="n">
        <v>2402</v>
      </c>
      <c r="I79" s="3" t="n">
        <v>2242</v>
      </c>
      <c r="J79" s="3" t="n">
        <v>110059</v>
      </c>
      <c r="K79" s="3" t="inlineStr">
        <is>
          <t>Pending</t>
        </is>
      </c>
      <c r="L79" s="3" t="inlineStr">
        <is>
          <t>In Progress</t>
        </is>
      </c>
      <c r="M79">
        <f>I79*J79</f>
        <v/>
      </c>
      <c r="N79" s="32">
        <f>ROUND(M79/100000, 0)</f>
        <v/>
      </c>
      <c r="O79">
        <f>H79-I79</f>
        <v/>
      </c>
      <c r="P79">
        <f>TEXT(G79,"mmmm")</f>
        <v/>
      </c>
      <c r="Q79">
        <f>YEAR(G79)</f>
        <v/>
      </c>
    </row>
    <row r="80">
      <c r="A80" s="3" t="n">
        <v>81</v>
      </c>
      <c r="B80" s="3" t="inlineStr">
        <is>
          <t>Chennai Plant</t>
        </is>
      </c>
      <c r="C80" s="3" t="inlineStr">
        <is>
          <t>Assembly</t>
        </is>
      </c>
      <c r="D80" s="3" t="inlineStr">
        <is>
          <t>Apple</t>
        </is>
      </c>
      <c r="E80" s="3" t="inlineStr">
        <is>
          <t>Smartphone</t>
        </is>
      </c>
      <c r="F80" s="3" t="inlineStr">
        <is>
          <t>iPhone 16</t>
        </is>
      </c>
      <c r="G80" s="3" t="inlineStr">
        <is>
          <t>2025-12-18</t>
        </is>
      </c>
      <c r="H80" s="3" t="n">
        <v>2196</v>
      </c>
      <c r="I80" s="3" t="n">
        <v>1996</v>
      </c>
      <c r="J80" s="3" t="n">
        <v>34593</v>
      </c>
      <c r="K80" s="3" t="inlineStr">
        <is>
          <t>Pending</t>
        </is>
      </c>
      <c r="L80" s="3" t="inlineStr">
        <is>
          <t>Completed</t>
        </is>
      </c>
      <c r="M80">
        <f>I80*J80</f>
        <v/>
      </c>
      <c r="N80" s="32">
        <f>ROUND(M80/100000, 0)</f>
        <v/>
      </c>
      <c r="O80">
        <f>H80-I80</f>
        <v/>
      </c>
      <c r="P80">
        <f>TEXT(G80,"mmmm")</f>
        <v/>
      </c>
      <c r="Q80">
        <f>YEAR(G80)</f>
        <v/>
      </c>
    </row>
    <row r="81">
      <c r="A81" s="3" t="n">
        <v>82</v>
      </c>
      <c r="B81" s="3" t="inlineStr">
        <is>
          <t>Pune Plant</t>
        </is>
      </c>
      <c r="C81" s="3" t="inlineStr">
        <is>
          <t>Packaging</t>
        </is>
      </c>
      <c r="D81" s="3" t="inlineStr">
        <is>
          <t>Apple</t>
        </is>
      </c>
      <c r="E81" s="3" t="inlineStr">
        <is>
          <t>Smartphone</t>
        </is>
      </c>
      <c r="F81" s="3" t="inlineStr">
        <is>
          <t>iPhone 16</t>
        </is>
      </c>
      <c r="G81" s="3" t="inlineStr">
        <is>
          <t>2025-09-07</t>
        </is>
      </c>
      <c r="H81" s="3" t="n">
        <v>4741</v>
      </c>
      <c r="I81" s="3" t="n">
        <v>4472</v>
      </c>
      <c r="J81" s="3" t="n">
        <v>77993</v>
      </c>
      <c r="K81" s="3" t="inlineStr">
        <is>
          <t>In Transit</t>
        </is>
      </c>
      <c r="L81" s="3" t="inlineStr">
        <is>
          <t>In Progress</t>
        </is>
      </c>
      <c r="M81">
        <f>I81*J81</f>
        <v/>
      </c>
      <c r="N81" s="32">
        <f>ROUND(M81/100000, 0)</f>
        <v/>
      </c>
      <c r="O81">
        <f>H81-I81</f>
        <v/>
      </c>
      <c r="P81">
        <f>TEXT(G81,"mmmm")</f>
        <v/>
      </c>
      <c r="Q81">
        <f>YEAR(G81)</f>
        <v/>
      </c>
    </row>
    <row r="82">
      <c r="A82" s="3" t="n">
        <v>83</v>
      </c>
      <c r="B82" s="3" t="inlineStr">
        <is>
          <t>Sriperumbudur Plant</t>
        </is>
      </c>
      <c r="C82" s="3" t="inlineStr">
        <is>
          <t>Testing</t>
        </is>
      </c>
      <c r="D82" s="3" t="inlineStr">
        <is>
          <t>Apple</t>
        </is>
      </c>
      <c r="E82" s="3" t="inlineStr">
        <is>
          <t>Smartphone</t>
        </is>
      </c>
      <c r="F82" s="3" t="inlineStr">
        <is>
          <t>iPhone 16 Plus</t>
        </is>
      </c>
      <c r="G82" s="3" t="inlineStr">
        <is>
          <t>2025-10-21</t>
        </is>
      </c>
      <c r="H82" s="3" t="n">
        <v>3980</v>
      </c>
      <c r="I82" s="3" t="n">
        <v>2680</v>
      </c>
      <c r="J82" s="3" t="n">
        <v>119686</v>
      </c>
      <c r="K82" s="3" t="inlineStr">
        <is>
          <t>Shipped</t>
        </is>
      </c>
      <c r="L82" s="3" t="inlineStr">
        <is>
          <t>In Progress</t>
        </is>
      </c>
      <c r="M82">
        <f>I82*J82</f>
        <v/>
      </c>
      <c r="N82" s="32">
        <f>ROUND(M82/100000, 0)</f>
        <v/>
      </c>
      <c r="O82">
        <f>H82-I82</f>
        <v/>
      </c>
      <c r="P82">
        <f>TEXT(G82,"mmmm")</f>
        <v/>
      </c>
      <c r="Q82">
        <f>YEAR(G82)</f>
        <v/>
      </c>
    </row>
    <row r="83">
      <c r="A83" s="3" t="n">
        <v>84</v>
      </c>
      <c r="B83" s="3" t="inlineStr">
        <is>
          <t>Chennai Plant</t>
        </is>
      </c>
      <c r="C83" s="3" t="inlineStr">
        <is>
          <t>Packaging</t>
        </is>
      </c>
      <c r="D83" s="3" t="inlineStr">
        <is>
          <t>Apple</t>
        </is>
      </c>
      <c r="E83" s="3" t="inlineStr">
        <is>
          <t>Smartphone</t>
        </is>
      </c>
      <c r="F83" s="3" t="inlineStr">
        <is>
          <t>iPhone 16</t>
        </is>
      </c>
      <c r="G83" s="3" t="inlineStr">
        <is>
          <t>2025-11-08</t>
        </is>
      </c>
      <c r="H83" s="3" t="n">
        <v>4968</v>
      </c>
      <c r="I83" s="3" t="n">
        <v>4477</v>
      </c>
      <c r="J83" s="3" t="n">
        <v>26266</v>
      </c>
      <c r="K83" s="3" t="inlineStr">
        <is>
          <t>In Transit</t>
        </is>
      </c>
      <c r="L83" s="3" t="inlineStr">
        <is>
          <t>In Progress</t>
        </is>
      </c>
      <c r="M83">
        <f>I83*J83</f>
        <v/>
      </c>
      <c r="N83" s="32">
        <f>ROUND(M83/100000, 0)</f>
        <v/>
      </c>
      <c r="O83">
        <f>H83-I83</f>
        <v/>
      </c>
      <c r="P83">
        <f>TEXT(G83,"mmmm")</f>
        <v/>
      </c>
      <c r="Q83">
        <f>YEAR(G83)</f>
        <v/>
      </c>
    </row>
    <row r="84">
      <c r="A84" s="3" t="n">
        <v>85</v>
      </c>
      <c r="B84" s="3" t="inlineStr">
        <is>
          <t>Noida Plant</t>
        </is>
      </c>
      <c r="C84" s="3" t="inlineStr">
        <is>
          <t>Manufacturing</t>
        </is>
      </c>
      <c r="D84" s="3" t="inlineStr">
        <is>
          <t>Apple</t>
        </is>
      </c>
      <c r="E84" s="3" t="inlineStr">
        <is>
          <t>Smartphone</t>
        </is>
      </c>
      <c r="F84" s="3" t="inlineStr">
        <is>
          <t>iPhone 15</t>
        </is>
      </c>
      <c r="G84" s="3" t="inlineStr">
        <is>
          <t>2025-08-21</t>
        </is>
      </c>
      <c r="H84" s="3" t="n">
        <v>1993</v>
      </c>
      <c r="I84" s="3" t="n">
        <v>1646</v>
      </c>
      <c r="J84" s="3" t="n">
        <v>35805</v>
      </c>
      <c r="K84" s="3" t="inlineStr">
        <is>
          <t>Pending</t>
        </is>
      </c>
      <c r="L84" s="3" t="inlineStr">
        <is>
          <t>Completed</t>
        </is>
      </c>
      <c r="M84">
        <f>I84*J84</f>
        <v/>
      </c>
      <c r="N84" s="32">
        <f>ROUND(M84/100000, 0)</f>
        <v/>
      </c>
      <c r="O84">
        <f>H84-I84</f>
        <v/>
      </c>
      <c r="P84">
        <f>TEXT(G84,"mmmm")</f>
        <v/>
      </c>
      <c r="Q84">
        <f>YEAR(G84)</f>
        <v/>
      </c>
    </row>
    <row r="85">
      <c r="A85" s="3" t="n">
        <v>86</v>
      </c>
      <c r="B85" s="3" t="inlineStr">
        <is>
          <t>Bengaluru Plant</t>
        </is>
      </c>
      <c r="C85" s="3" t="inlineStr">
        <is>
          <t>Testing</t>
        </is>
      </c>
      <c r="D85" s="3" t="inlineStr">
        <is>
          <t>Apple</t>
        </is>
      </c>
      <c r="E85" s="3" t="inlineStr">
        <is>
          <t>Smartphone</t>
        </is>
      </c>
      <c r="F85" s="3" t="inlineStr">
        <is>
          <t>iPhone 16 Plus</t>
        </is>
      </c>
      <c r="G85" s="3" t="inlineStr">
        <is>
          <t>2025-08-28</t>
        </is>
      </c>
      <c r="H85" s="3" t="n">
        <v>2948</v>
      </c>
      <c r="I85" s="3" t="n">
        <v>2081</v>
      </c>
      <c r="J85" s="3" t="n">
        <v>103400</v>
      </c>
      <c r="K85" s="3" t="inlineStr">
        <is>
          <t>In Transit</t>
        </is>
      </c>
      <c r="L85" s="3" t="inlineStr">
        <is>
          <t>In Progress</t>
        </is>
      </c>
      <c r="M85">
        <f>I85*J85</f>
        <v/>
      </c>
      <c r="N85" s="32">
        <f>ROUND(M85/100000, 0)</f>
        <v/>
      </c>
      <c r="O85">
        <f>H85-I85</f>
        <v/>
      </c>
      <c r="P85">
        <f>TEXT(G85,"mmmm")</f>
        <v/>
      </c>
      <c r="Q85">
        <f>YEAR(G85)</f>
        <v/>
      </c>
    </row>
    <row r="86">
      <c r="A86" s="3" t="n">
        <v>87</v>
      </c>
      <c r="B86" s="3" t="inlineStr">
        <is>
          <t>Noida Plant</t>
        </is>
      </c>
      <c r="C86" s="3" t="inlineStr">
        <is>
          <t>Assembly</t>
        </is>
      </c>
      <c r="D86" s="3" t="inlineStr">
        <is>
          <t>Apple</t>
        </is>
      </c>
      <c r="E86" s="3" t="inlineStr">
        <is>
          <t>Smartphone</t>
        </is>
      </c>
      <c r="F86" s="3" t="inlineStr">
        <is>
          <t>iPhone 15</t>
        </is>
      </c>
      <c r="G86" s="3" t="inlineStr">
        <is>
          <t>2025-02-07</t>
        </is>
      </c>
      <c r="H86" s="3" t="n">
        <v>4480</v>
      </c>
      <c r="I86" s="3" t="n">
        <v>3047</v>
      </c>
      <c r="J86" s="3" t="n">
        <v>27747</v>
      </c>
      <c r="K86" s="3" t="inlineStr">
        <is>
          <t>In Transit</t>
        </is>
      </c>
      <c r="L86" s="3" t="inlineStr">
        <is>
          <t>Completed</t>
        </is>
      </c>
      <c r="M86">
        <f>I86*J86</f>
        <v/>
      </c>
      <c r="N86" s="32">
        <f>ROUND(M86/100000, 0)</f>
        <v/>
      </c>
      <c r="O86">
        <f>H86-I86</f>
        <v/>
      </c>
      <c r="P86">
        <f>TEXT(G86,"mmmm")</f>
        <v/>
      </c>
      <c r="Q86">
        <f>YEAR(G86)</f>
        <v/>
      </c>
    </row>
    <row r="87">
      <c r="A87" s="3" t="n">
        <v>88</v>
      </c>
      <c r="B87" s="3" t="inlineStr">
        <is>
          <t>Noida Plant</t>
        </is>
      </c>
      <c r="C87" s="3" t="inlineStr">
        <is>
          <t>Manufacturing</t>
        </is>
      </c>
      <c r="D87" s="3" t="inlineStr">
        <is>
          <t>Apple</t>
        </is>
      </c>
      <c r="E87" s="3" t="inlineStr">
        <is>
          <t>Smartphone</t>
        </is>
      </c>
      <c r="F87" s="3" t="inlineStr">
        <is>
          <t>iPhone 16</t>
        </is>
      </c>
      <c r="G87" s="3" t="inlineStr">
        <is>
          <t>2025-01-22</t>
        </is>
      </c>
      <c r="H87" s="3" t="n">
        <v>2311</v>
      </c>
      <c r="I87" s="3" t="n">
        <v>1525</v>
      </c>
      <c r="J87" s="3" t="n">
        <v>112043</v>
      </c>
      <c r="K87" s="3" t="inlineStr">
        <is>
          <t>Pending</t>
        </is>
      </c>
      <c r="L87" s="3" t="inlineStr">
        <is>
          <t>Completed</t>
        </is>
      </c>
      <c r="M87">
        <f>I87*J87</f>
        <v/>
      </c>
      <c r="N87" s="32">
        <f>ROUND(M87/100000, 0)</f>
        <v/>
      </c>
      <c r="O87">
        <f>H87-I87</f>
        <v/>
      </c>
      <c r="P87">
        <f>TEXT(G87,"mmmm")</f>
        <v/>
      </c>
      <c r="Q87">
        <f>YEAR(G87)</f>
        <v/>
      </c>
    </row>
    <row r="88">
      <c r="A88" s="3" t="n">
        <v>89</v>
      </c>
      <c r="B88" s="3" t="inlineStr">
        <is>
          <t>Noida Plant</t>
        </is>
      </c>
      <c r="C88" s="3" t="inlineStr">
        <is>
          <t>Packaging</t>
        </is>
      </c>
      <c r="D88" s="3" t="inlineStr">
        <is>
          <t>Apple</t>
        </is>
      </c>
      <c r="E88" s="3" t="inlineStr">
        <is>
          <t>Smartphone</t>
        </is>
      </c>
      <c r="F88" s="3" t="inlineStr">
        <is>
          <t>iPhone 15</t>
        </is>
      </c>
      <c r="G88" s="3" t="inlineStr">
        <is>
          <t>2025-02-20</t>
        </is>
      </c>
      <c r="H88" s="3" t="n">
        <v>2271</v>
      </c>
      <c r="I88" s="3" t="n">
        <v>1852</v>
      </c>
      <c r="J88" s="3" t="n">
        <v>110338</v>
      </c>
      <c r="K88" s="3" t="inlineStr">
        <is>
          <t>Pending</t>
        </is>
      </c>
      <c r="L88" s="3" t="inlineStr">
        <is>
          <t>In Progress</t>
        </is>
      </c>
      <c r="M88">
        <f>I88*J88</f>
        <v/>
      </c>
      <c r="N88" s="32">
        <f>ROUND(M88/100000, 0)</f>
        <v/>
      </c>
      <c r="O88">
        <f>H88-I88</f>
        <v/>
      </c>
      <c r="P88">
        <f>TEXT(G88,"mmmm")</f>
        <v/>
      </c>
      <c r="Q88">
        <f>YEAR(G88)</f>
        <v/>
      </c>
    </row>
    <row r="89">
      <c r="A89" s="3" t="n">
        <v>90</v>
      </c>
      <c r="B89" s="3" t="inlineStr">
        <is>
          <t>Pune Plant</t>
        </is>
      </c>
      <c r="C89" s="3" t="inlineStr">
        <is>
          <t>Manufacturing</t>
        </is>
      </c>
      <c r="D89" s="3" t="inlineStr">
        <is>
          <t>Apple</t>
        </is>
      </c>
      <c r="E89" s="3" t="inlineStr">
        <is>
          <t>Smartphone</t>
        </is>
      </c>
      <c r="F89" s="3" t="inlineStr">
        <is>
          <t>iPhone 16 Plus</t>
        </is>
      </c>
      <c r="G89" s="3" t="inlineStr">
        <is>
          <t>2025-10-29</t>
        </is>
      </c>
      <c r="H89" s="3" t="n">
        <v>4288</v>
      </c>
      <c r="I89" s="3" t="n">
        <v>4100</v>
      </c>
      <c r="J89" s="3" t="n">
        <v>114826</v>
      </c>
      <c r="K89" s="3" t="inlineStr">
        <is>
          <t>Pending</t>
        </is>
      </c>
      <c r="L89" s="3" t="inlineStr">
        <is>
          <t>Completed</t>
        </is>
      </c>
      <c r="M89">
        <f>I89*J89</f>
        <v/>
      </c>
      <c r="N89" s="32">
        <f>ROUND(M89/100000, 0)</f>
        <v/>
      </c>
      <c r="O89">
        <f>H89-I89</f>
        <v/>
      </c>
      <c r="P89">
        <f>TEXT(G89,"mmmm")</f>
        <v/>
      </c>
      <c r="Q89">
        <f>YEAR(G89)</f>
        <v/>
      </c>
    </row>
    <row r="90">
      <c r="A90" s="3" t="n">
        <v>91</v>
      </c>
      <c r="B90" s="3" t="inlineStr">
        <is>
          <t>Chennai Plant</t>
        </is>
      </c>
      <c r="C90" s="3" t="inlineStr">
        <is>
          <t>Packaging</t>
        </is>
      </c>
      <c r="D90" s="3" t="inlineStr">
        <is>
          <t>Apple</t>
        </is>
      </c>
      <c r="E90" s="3" t="inlineStr">
        <is>
          <t>Smartphone</t>
        </is>
      </c>
      <c r="F90" s="3" t="inlineStr">
        <is>
          <t>iPhone 16</t>
        </is>
      </c>
      <c r="G90" s="3" t="inlineStr">
        <is>
          <t>2025-10-09</t>
        </is>
      </c>
      <c r="H90" s="3" t="n">
        <v>2944</v>
      </c>
      <c r="I90" s="3" t="n">
        <v>2269</v>
      </c>
      <c r="J90" s="3" t="n">
        <v>68188</v>
      </c>
      <c r="K90" s="3" t="inlineStr">
        <is>
          <t>In Transit</t>
        </is>
      </c>
      <c r="L90" s="3" t="inlineStr">
        <is>
          <t>Completed</t>
        </is>
      </c>
      <c r="M90">
        <f>I90*J90</f>
        <v/>
      </c>
      <c r="N90" s="32">
        <f>ROUND(M90/100000, 0)</f>
        <v/>
      </c>
      <c r="O90">
        <f>H90-I90</f>
        <v/>
      </c>
      <c r="P90">
        <f>TEXT(G90,"mmmm")</f>
        <v/>
      </c>
      <c r="Q90">
        <f>YEAR(G90)</f>
        <v/>
      </c>
    </row>
    <row r="91">
      <c r="A91" s="3" t="n">
        <v>92</v>
      </c>
      <c r="B91" s="3" t="inlineStr">
        <is>
          <t>Sriperumbudur Plant</t>
        </is>
      </c>
      <c r="C91" s="3" t="inlineStr">
        <is>
          <t>Assembly</t>
        </is>
      </c>
      <c r="D91" s="3" t="inlineStr">
        <is>
          <t>Apple</t>
        </is>
      </c>
      <c r="E91" s="3" t="inlineStr">
        <is>
          <t>Smartphone</t>
        </is>
      </c>
      <c r="F91" s="3" t="inlineStr">
        <is>
          <t>iPhone 16 Plus</t>
        </is>
      </c>
      <c r="G91" s="3" t="inlineStr">
        <is>
          <t>2025-09-16</t>
        </is>
      </c>
      <c r="H91" s="3" t="n">
        <v>3723</v>
      </c>
      <c r="I91" s="3" t="n">
        <v>2701</v>
      </c>
      <c r="J91" s="3" t="n">
        <v>113804</v>
      </c>
      <c r="K91" s="3" t="inlineStr">
        <is>
          <t>Shipped</t>
        </is>
      </c>
      <c r="L91" s="3" t="inlineStr">
        <is>
          <t>Completed</t>
        </is>
      </c>
      <c r="M91">
        <f>I91*J91</f>
        <v/>
      </c>
      <c r="N91" s="32">
        <f>ROUND(M91/100000, 0)</f>
        <v/>
      </c>
      <c r="O91">
        <f>H91-I91</f>
        <v/>
      </c>
      <c r="P91">
        <f>TEXT(G91,"mmmm")</f>
        <v/>
      </c>
      <c r="Q91">
        <f>YEAR(G91)</f>
        <v/>
      </c>
    </row>
    <row r="92">
      <c r="A92" s="3" t="n">
        <v>93</v>
      </c>
      <c r="B92" s="3" t="inlineStr">
        <is>
          <t>Bengaluru Plant</t>
        </is>
      </c>
      <c r="C92" s="3" t="inlineStr">
        <is>
          <t>Testing</t>
        </is>
      </c>
      <c r="D92" s="3" t="inlineStr">
        <is>
          <t>Apple</t>
        </is>
      </c>
      <c r="E92" s="3" t="inlineStr">
        <is>
          <t>Smartphone</t>
        </is>
      </c>
      <c r="F92" s="3" t="inlineStr">
        <is>
          <t>iPhone 15</t>
        </is>
      </c>
      <c r="G92" s="3" t="inlineStr">
        <is>
          <t>2025-02-13</t>
        </is>
      </c>
      <c r="H92" s="3" t="n">
        <v>1743</v>
      </c>
      <c r="I92" s="3" t="n">
        <v>1459</v>
      </c>
      <c r="J92" s="3" t="n">
        <v>108976</v>
      </c>
      <c r="K92" s="3" t="inlineStr">
        <is>
          <t>In Transit</t>
        </is>
      </c>
      <c r="L92" s="3" t="inlineStr">
        <is>
          <t>Completed</t>
        </is>
      </c>
      <c r="M92">
        <f>I92*J92</f>
        <v/>
      </c>
      <c r="N92" s="32">
        <f>ROUND(M92/100000, 0)</f>
        <v/>
      </c>
      <c r="O92">
        <f>H92-I92</f>
        <v/>
      </c>
      <c r="P92">
        <f>TEXT(G92,"mmmm")</f>
        <v/>
      </c>
      <c r="Q92">
        <f>YEAR(G92)</f>
        <v/>
      </c>
    </row>
    <row r="93">
      <c r="A93" s="3" t="n">
        <v>94</v>
      </c>
      <c r="B93" s="3" t="inlineStr">
        <is>
          <t>Pune Plant</t>
        </is>
      </c>
      <c r="C93" s="3" t="inlineStr">
        <is>
          <t>Packaging</t>
        </is>
      </c>
      <c r="D93" s="3" t="inlineStr">
        <is>
          <t>Apple</t>
        </is>
      </c>
      <c r="E93" s="3" t="inlineStr">
        <is>
          <t>Smartphone</t>
        </is>
      </c>
      <c r="F93" s="3" t="inlineStr">
        <is>
          <t>iPhone 16 Plus</t>
        </is>
      </c>
      <c r="G93" s="3" t="inlineStr">
        <is>
          <t>2025-02-22</t>
        </is>
      </c>
      <c r="H93" s="3" t="n">
        <v>957</v>
      </c>
      <c r="I93" s="3" t="n">
        <v>810</v>
      </c>
      <c r="J93" s="3" t="n">
        <v>104464</v>
      </c>
      <c r="K93" s="3" t="inlineStr">
        <is>
          <t>Pending</t>
        </is>
      </c>
      <c r="L93" s="3" t="inlineStr">
        <is>
          <t>Completed</t>
        </is>
      </c>
      <c r="M93">
        <f>I93*J93</f>
        <v/>
      </c>
      <c r="N93" s="32">
        <f>ROUND(M93/100000, 0)</f>
        <v/>
      </c>
      <c r="O93">
        <f>H93-I93</f>
        <v/>
      </c>
      <c r="P93">
        <f>TEXT(G93,"mmmm")</f>
        <v/>
      </c>
      <c r="Q93">
        <f>YEAR(G93)</f>
        <v/>
      </c>
    </row>
    <row r="94">
      <c r="A94" s="3" t="n">
        <v>95</v>
      </c>
      <c r="B94" s="3" t="inlineStr">
        <is>
          <t>Sriperumbudur Plant</t>
        </is>
      </c>
      <c r="C94" s="3" t="inlineStr">
        <is>
          <t>Testing</t>
        </is>
      </c>
      <c r="D94" s="3" t="inlineStr">
        <is>
          <t>Apple</t>
        </is>
      </c>
      <c r="E94" s="3" t="inlineStr">
        <is>
          <t>Smartphone</t>
        </is>
      </c>
      <c r="F94" s="3" t="inlineStr">
        <is>
          <t>iPhone 16</t>
        </is>
      </c>
      <c r="G94" s="3" t="inlineStr">
        <is>
          <t>2025-12-18</t>
        </is>
      </c>
      <c r="H94" s="3" t="n">
        <v>2999</v>
      </c>
      <c r="I94" s="3" t="n">
        <v>2651</v>
      </c>
      <c r="J94" s="3" t="n">
        <v>98178</v>
      </c>
      <c r="K94" s="3" t="inlineStr">
        <is>
          <t>Shipped</t>
        </is>
      </c>
      <c r="L94" s="3" t="inlineStr">
        <is>
          <t>Completed</t>
        </is>
      </c>
      <c r="M94">
        <f>I94*J94</f>
        <v/>
      </c>
      <c r="N94" s="32">
        <f>ROUND(M94/100000, 0)</f>
        <v/>
      </c>
      <c r="O94">
        <f>H94-I94</f>
        <v/>
      </c>
      <c r="P94">
        <f>TEXT(G94,"mmmm")</f>
        <v/>
      </c>
      <c r="Q94">
        <f>YEAR(G94)</f>
        <v/>
      </c>
    </row>
    <row r="95">
      <c r="A95" s="3" t="n">
        <v>96</v>
      </c>
      <c r="B95" s="3" t="inlineStr">
        <is>
          <t>Noida Plant</t>
        </is>
      </c>
      <c r="C95" s="3" t="inlineStr">
        <is>
          <t>Assembly</t>
        </is>
      </c>
      <c r="D95" s="3" t="inlineStr">
        <is>
          <t>Apple</t>
        </is>
      </c>
      <c r="E95" s="3" t="inlineStr">
        <is>
          <t>Smartphone</t>
        </is>
      </c>
      <c r="F95" s="3" t="inlineStr">
        <is>
          <t>iPhone 16</t>
        </is>
      </c>
      <c r="G95" s="3" t="inlineStr">
        <is>
          <t>2025-06-29</t>
        </is>
      </c>
      <c r="H95" s="3" t="n">
        <v>4048</v>
      </c>
      <c r="I95" s="3" t="n">
        <v>2694</v>
      </c>
      <c r="J95" s="3" t="n">
        <v>48109</v>
      </c>
      <c r="K95" s="3" t="inlineStr">
        <is>
          <t>Shipped</t>
        </is>
      </c>
      <c r="L95" s="3" t="inlineStr">
        <is>
          <t>In Progress</t>
        </is>
      </c>
      <c r="M95">
        <f>I95*J95</f>
        <v/>
      </c>
      <c r="N95" s="32">
        <f>ROUND(M95/100000, 0)</f>
        <v/>
      </c>
      <c r="O95">
        <f>H95-I95</f>
        <v/>
      </c>
      <c r="P95">
        <f>TEXT(G95,"mmmm")</f>
        <v/>
      </c>
      <c r="Q95">
        <f>YEAR(G95)</f>
        <v/>
      </c>
    </row>
    <row r="96">
      <c r="A96" s="3" t="n">
        <v>97</v>
      </c>
      <c r="B96" s="3" t="inlineStr">
        <is>
          <t>Sriperumbudur Plant</t>
        </is>
      </c>
      <c r="C96" s="3" t="inlineStr">
        <is>
          <t>Assembly</t>
        </is>
      </c>
      <c r="D96" s="3" t="inlineStr">
        <is>
          <t>Apple</t>
        </is>
      </c>
      <c r="E96" s="3" t="inlineStr">
        <is>
          <t>Smartphone</t>
        </is>
      </c>
      <c r="F96" s="3" t="inlineStr">
        <is>
          <t>iPhone 16</t>
        </is>
      </c>
      <c r="G96" s="3" t="inlineStr">
        <is>
          <t>2025-01-14</t>
        </is>
      </c>
      <c r="H96" s="3" t="n">
        <v>633</v>
      </c>
      <c r="I96" s="3" t="n">
        <v>437</v>
      </c>
      <c r="J96" s="3" t="n">
        <v>90994</v>
      </c>
      <c r="K96" s="3" t="inlineStr">
        <is>
          <t>Shipped</t>
        </is>
      </c>
      <c r="L96" s="3" t="inlineStr">
        <is>
          <t>Completed</t>
        </is>
      </c>
      <c r="M96">
        <f>I96*J96</f>
        <v/>
      </c>
      <c r="N96" s="32">
        <f>ROUND(M96/100000, 0)</f>
        <v/>
      </c>
      <c r="O96">
        <f>H96-I96</f>
        <v/>
      </c>
      <c r="P96">
        <f>TEXT(G96,"mmmm")</f>
        <v/>
      </c>
      <c r="Q96">
        <f>YEAR(G96)</f>
        <v/>
      </c>
    </row>
    <row r="97">
      <c r="A97" s="3" t="n">
        <v>98</v>
      </c>
      <c r="B97" s="3" t="inlineStr">
        <is>
          <t>Chennai Plant</t>
        </is>
      </c>
      <c r="C97" s="3" t="inlineStr">
        <is>
          <t>Manufacturing</t>
        </is>
      </c>
      <c r="D97" s="3" t="inlineStr">
        <is>
          <t>Apple</t>
        </is>
      </c>
      <c r="E97" s="3" t="inlineStr">
        <is>
          <t>Smartphone</t>
        </is>
      </c>
      <c r="F97" s="3" t="inlineStr">
        <is>
          <t>iPhone 16</t>
        </is>
      </c>
      <c r="G97" s="3" t="inlineStr">
        <is>
          <t>2025-08-16</t>
        </is>
      </c>
      <c r="H97" s="3" t="n">
        <v>3335</v>
      </c>
      <c r="I97" s="3" t="n">
        <v>2818</v>
      </c>
      <c r="J97" s="3" t="n">
        <v>39790</v>
      </c>
      <c r="K97" s="3" t="inlineStr">
        <is>
          <t>Shipped</t>
        </is>
      </c>
      <c r="L97" s="3" t="inlineStr">
        <is>
          <t>In Progress</t>
        </is>
      </c>
      <c r="M97">
        <f>I97*J97</f>
        <v/>
      </c>
      <c r="N97" s="32">
        <f>ROUND(M97/100000, 0)</f>
        <v/>
      </c>
      <c r="O97">
        <f>H97-I97</f>
        <v/>
      </c>
      <c r="P97">
        <f>TEXT(G97,"mmmm")</f>
        <v/>
      </c>
      <c r="Q97">
        <f>YEAR(G97)</f>
        <v/>
      </c>
    </row>
    <row r="98">
      <c r="A98" s="3" t="n">
        <v>99</v>
      </c>
      <c r="B98" s="3" t="inlineStr">
        <is>
          <t>Pune Plant</t>
        </is>
      </c>
      <c r="C98" s="3" t="inlineStr">
        <is>
          <t>Manufacturing</t>
        </is>
      </c>
      <c r="D98" s="3" t="inlineStr">
        <is>
          <t>Apple</t>
        </is>
      </c>
      <c r="E98" s="3" t="inlineStr">
        <is>
          <t>Smartphone</t>
        </is>
      </c>
      <c r="F98" s="3" t="inlineStr">
        <is>
          <t>iPhone 16 Plus</t>
        </is>
      </c>
      <c r="G98" s="3" t="inlineStr">
        <is>
          <t>2025-05-21</t>
        </is>
      </c>
      <c r="H98" s="3" t="n">
        <v>839</v>
      </c>
      <c r="I98" s="3" t="n">
        <v>762</v>
      </c>
      <c r="J98" s="3" t="n">
        <v>112048</v>
      </c>
      <c r="K98" s="3" t="inlineStr">
        <is>
          <t>Shipped</t>
        </is>
      </c>
      <c r="L98" s="3" t="inlineStr">
        <is>
          <t>Completed</t>
        </is>
      </c>
      <c r="M98">
        <f>I98*J98</f>
        <v/>
      </c>
      <c r="N98" s="32">
        <f>ROUND(M98/100000, 0)</f>
        <v/>
      </c>
      <c r="O98">
        <f>H98-I98</f>
        <v/>
      </c>
      <c r="P98">
        <f>TEXT(G98,"mmmm")</f>
        <v/>
      </c>
      <c r="Q98">
        <f>YEAR(G98)</f>
        <v/>
      </c>
    </row>
    <row r="99">
      <c r="A99" s="3" t="n">
        <v>100</v>
      </c>
      <c r="B99" s="3" t="inlineStr">
        <is>
          <t>Bengaluru Plant</t>
        </is>
      </c>
      <c r="C99" s="3" t="inlineStr">
        <is>
          <t>Assembly</t>
        </is>
      </c>
      <c r="D99" s="3" t="inlineStr">
        <is>
          <t>Apple</t>
        </is>
      </c>
      <c r="E99" s="3" t="inlineStr">
        <is>
          <t>Smartphone</t>
        </is>
      </c>
      <c r="F99" s="3" t="inlineStr">
        <is>
          <t>iPhone 16</t>
        </is>
      </c>
      <c r="G99" s="3" t="inlineStr">
        <is>
          <t>2025-10-07</t>
        </is>
      </c>
      <c r="H99" s="3" t="n">
        <v>577</v>
      </c>
      <c r="I99" s="3" t="n">
        <v>548</v>
      </c>
      <c r="J99" s="3" t="n">
        <v>57327</v>
      </c>
      <c r="K99" s="3" t="inlineStr">
        <is>
          <t>Pending</t>
        </is>
      </c>
      <c r="L99" s="3" t="inlineStr">
        <is>
          <t>Completed</t>
        </is>
      </c>
      <c r="M99">
        <f>I99*J99</f>
        <v/>
      </c>
      <c r="N99" s="32">
        <f>ROUND(M99/100000, 0)</f>
        <v/>
      </c>
      <c r="O99">
        <f>H99-I99</f>
        <v/>
      </c>
      <c r="P99">
        <f>TEXT(G99,"mmmm")</f>
        <v/>
      </c>
      <c r="Q99">
        <f>YEAR(G99)</f>
        <v/>
      </c>
    </row>
    <row r="100">
      <c r="A100" s="3" t="n">
        <v>101</v>
      </c>
      <c r="B100" s="3" t="inlineStr">
        <is>
          <t>Chennai Plant</t>
        </is>
      </c>
      <c r="C100" s="3" t="inlineStr">
        <is>
          <t>Assembly</t>
        </is>
      </c>
      <c r="D100" s="3" t="inlineStr">
        <is>
          <t>Apple</t>
        </is>
      </c>
      <c r="E100" s="3" t="inlineStr">
        <is>
          <t>Smartphone</t>
        </is>
      </c>
      <c r="F100" s="3" t="inlineStr">
        <is>
          <t>iPhone 15</t>
        </is>
      </c>
      <c r="G100" s="3" t="inlineStr">
        <is>
          <t>2025-04-09</t>
        </is>
      </c>
      <c r="H100" s="3" t="n">
        <v>3654</v>
      </c>
      <c r="I100" s="3" t="n">
        <v>2884</v>
      </c>
      <c r="J100" s="3" t="n">
        <v>62853</v>
      </c>
      <c r="K100" s="3" t="inlineStr">
        <is>
          <t>In Transit</t>
        </is>
      </c>
      <c r="L100" s="3" t="inlineStr">
        <is>
          <t>In Progress</t>
        </is>
      </c>
      <c r="M100">
        <f>I100*J100</f>
        <v/>
      </c>
      <c r="N100" s="32">
        <f>ROUND(M100/100000, 0)</f>
        <v/>
      </c>
      <c r="O100">
        <f>H100-I100</f>
        <v/>
      </c>
      <c r="P100">
        <f>TEXT(G100,"mmmm")</f>
        <v/>
      </c>
      <c r="Q100">
        <f>YEAR(G100)</f>
        <v/>
      </c>
    </row>
    <row r="101">
      <c r="A101" s="3" t="n">
        <v>103</v>
      </c>
      <c r="B101" s="3" t="inlineStr">
        <is>
          <t>Sriperumbudur Plant</t>
        </is>
      </c>
      <c r="C101" s="3" t="inlineStr">
        <is>
          <t>Testing</t>
        </is>
      </c>
      <c r="D101" s="3" t="inlineStr">
        <is>
          <t>Apple</t>
        </is>
      </c>
      <c r="E101" s="3" t="inlineStr">
        <is>
          <t>Smartphone</t>
        </is>
      </c>
      <c r="F101" s="3" t="inlineStr">
        <is>
          <t>iPhone 16</t>
        </is>
      </c>
      <c r="G101" s="3" t="inlineStr">
        <is>
          <t>2025-02-18</t>
        </is>
      </c>
      <c r="H101" s="3" t="n">
        <v>2175</v>
      </c>
      <c r="I101" s="3" t="n">
        <v>1730</v>
      </c>
      <c r="J101" s="3" t="n">
        <v>49578</v>
      </c>
      <c r="K101" s="3" t="inlineStr">
        <is>
          <t>Shipped</t>
        </is>
      </c>
      <c r="L101" s="3" t="inlineStr">
        <is>
          <t>In Progress</t>
        </is>
      </c>
      <c r="M101">
        <f>I101*J101</f>
        <v/>
      </c>
      <c r="N101" s="32">
        <f>ROUND(M101/100000, 0)</f>
        <v/>
      </c>
      <c r="O101">
        <f>H101-I101</f>
        <v/>
      </c>
      <c r="P101">
        <f>TEXT(G101,"mmmm")</f>
        <v/>
      </c>
      <c r="Q101">
        <f>YEAR(G101)</f>
        <v/>
      </c>
    </row>
    <row r="102">
      <c r="A102" s="3" t="n">
        <v>104</v>
      </c>
      <c r="B102" s="3" t="inlineStr">
        <is>
          <t>Sriperumbudur Plant</t>
        </is>
      </c>
      <c r="C102" s="3" t="inlineStr">
        <is>
          <t>Manufacturing</t>
        </is>
      </c>
      <c r="D102" s="3" t="inlineStr">
        <is>
          <t>Apple</t>
        </is>
      </c>
      <c r="E102" s="3" t="inlineStr">
        <is>
          <t>Smartphone</t>
        </is>
      </c>
      <c r="F102" s="3" t="inlineStr">
        <is>
          <t>iPhone 16 Plus</t>
        </is>
      </c>
      <c r="G102" s="3" t="inlineStr">
        <is>
          <t>2025-04-22</t>
        </is>
      </c>
      <c r="H102" s="3" t="n">
        <v>4449</v>
      </c>
      <c r="I102" s="3" t="n">
        <v>3876</v>
      </c>
      <c r="J102" s="3" t="n">
        <v>114836</v>
      </c>
      <c r="K102" s="3" t="inlineStr">
        <is>
          <t>Shipped</t>
        </is>
      </c>
      <c r="L102" s="3" t="inlineStr">
        <is>
          <t>Completed</t>
        </is>
      </c>
      <c r="M102">
        <f>I102*J102</f>
        <v/>
      </c>
      <c r="N102" s="32">
        <f>ROUND(M102/100000, 0)</f>
        <v/>
      </c>
      <c r="O102">
        <f>H102-I102</f>
        <v/>
      </c>
      <c r="P102">
        <f>TEXT(G102,"mmmm")</f>
        <v/>
      </c>
      <c r="Q102">
        <f>YEAR(G102)</f>
        <v/>
      </c>
    </row>
    <row r="103">
      <c r="A103" s="3" t="n">
        <v>105</v>
      </c>
      <c r="B103" s="3" t="inlineStr">
        <is>
          <t>Pune Plant</t>
        </is>
      </c>
      <c r="C103" s="3" t="inlineStr">
        <is>
          <t>Assembly</t>
        </is>
      </c>
      <c r="D103" s="3" t="inlineStr">
        <is>
          <t>Apple</t>
        </is>
      </c>
      <c r="E103" s="3" t="inlineStr">
        <is>
          <t>Smartphone</t>
        </is>
      </c>
      <c r="F103" s="3" t="inlineStr">
        <is>
          <t>iPhone 15</t>
        </is>
      </c>
      <c r="G103" s="3" t="inlineStr">
        <is>
          <t>2025-01-25</t>
        </is>
      </c>
      <c r="H103" s="3" t="n">
        <v>1857</v>
      </c>
      <c r="I103" s="3" t="n">
        <v>1159</v>
      </c>
      <c r="J103" s="3" t="n">
        <v>74711</v>
      </c>
      <c r="K103" s="3" t="inlineStr">
        <is>
          <t>In Transit</t>
        </is>
      </c>
      <c r="L103" s="3" t="inlineStr">
        <is>
          <t>Completed</t>
        </is>
      </c>
      <c r="M103">
        <f>I103*J103</f>
        <v/>
      </c>
      <c r="N103" s="32">
        <f>ROUND(M103/100000, 0)</f>
        <v/>
      </c>
      <c r="O103">
        <f>H103-I103</f>
        <v/>
      </c>
      <c r="P103">
        <f>TEXT(G103,"mmmm")</f>
        <v/>
      </c>
      <c r="Q103">
        <f>YEAR(G103)</f>
        <v/>
      </c>
    </row>
    <row r="104">
      <c r="A104" s="3" t="n">
        <v>106</v>
      </c>
      <c r="B104" s="3" t="inlineStr">
        <is>
          <t>Chennai Plant</t>
        </is>
      </c>
      <c r="C104" s="3" t="inlineStr">
        <is>
          <t>Testing</t>
        </is>
      </c>
      <c r="D104" s="3" t="inlineStr">
        <is>
          <t>Apple</t>
        </is>
      </c>
      <c r="E104" s="3" t="inlineStr">
        <is>
          <t>Smartphone</t>
        </is>
      </c>
      <c r="F104" s="3" t="inlineStr">
        <is>
          <t>iPhone 16</t>
        </is>
      </c>
      <c r="G104" s="3" t="inlineStr">
        <is>
          <t>2025-09-17</t>
        </is>
      </c>
      <c r="H104" s="3" t="n">
        <v>3355</v>
      </c>
      <c r="I104" s="3" t="n">
        <v>3135</v>
      </c>
      <c r="J104" s="3" t="n">
        <v>119444</v>
      </c>
      <c r="K104" s="3" t="inlineStr">
        <is>
          <t>Shipped</t>
        </is>
      </c>
      <c r="L104" s="3" t="inlineStr">
        <is>
          <t>Completed</t>
        </is>
      </c>
      <c r="M104">
        <f>I104*J104</f>
        <v/>
      </c>
      <c r="N104" s="32">
        <f>ROUND(M104/100000, 0)</f>
        <v/>
      </c>
      <c r="O104">
        <f>H104-I104</f>
        <v/>
      </c>
      <c r="P104">
        <f>TEXT(G104,"mmmm")</f>
        <v/>
      </c>
      <c r="Q104">
        <f>YEAR(G104)</f>
        <v/>
      </c>
    </row>
    <row r="105">
      <c r="A105" s="3" t="n">
        <v>107</v>
      </c>
      <c r="B105" s="3" t="inlineStr">
        <is>
          <t>Bengaluru Plant</t>
        </is>
      </c>
      <c r="C105" s="3" t="inlineStr">
        <is>
          <t>Manufacturing</t>
        </is>
      </c>
      <c r="D105" s="3" t="inlineStr">
        <is>
          <t>Apple</t>
        </is>
      </c>
      <c r="E105" s="3" t="inlineStr">
        <is>
          <t>Smartphone</t>
        </is>
      </c>
      <c r="F105" s="3" t="inlineStr">
        <is>
          <t>iPhone 16</t>
        </is>
      </c>
      <c r="G105" s="3" t="inlineStr">
        <is>
          <t>2025-04-29</t>
        </is>
      </c>
      <c r="H105" s="3" t="n">
        <v>961</v>
      </c>
      <c r="I105" s="3" t="n">
        <v>940</v>
      </c>
      <c r="J105" s="3" t="n">
        <v>33740</v>
      </c>
      <c r="K105" s="3" t="inlineStr">
        <is>
          <t>Pending</t>
        </is>
      </c>
      <c r="L105" s="3" t="inlineStr">
        <is>
          <t>In Progress</t>
        </is>
      </c>
      <c r="M105">
        <f>I105*J105</f>
        <v/>
      </c>
      <c r="N105" s="32">
        <f>ROUND(M105/100000, 0)</f>
        <v/>
      </c>
      <c r="O105">
        <f>H105-I105</f>
        <v/>
      </c>
      <c r="P105">
        <f>TEXT(G105,"mmmm")</f>
        <v/>
      </c>
      <c r="Q105">
        <f>YEAR(G105)</f>
        <v/>
      </c>
    </row>
    <row r="106">
      <c r="A106" s="3" t="n">
        <v>108</v>
      </c>
      <c r="B106" s="3" t="inlineStr">
        <is>
          <t>Pune Plant</t>
        </is>
      </c>
      <c r="C106" s="3" t="inlineStr">
        <is>
          <t>Packaging</t>
        </is>
      </c>
      <c r="D106" s="3" t="inlineStr">
        <is>
          <t>Apple</t>
        </is>
      </c>
      <c r="E106" s="3" t="inlineStr">
        <is>
          <t>Smartphone</t>
        </is>
      </c>
      <c r="F106" s="3" t="inlineStr">
        <is>
          <t>iPhone 16</t>
        </is>
      </c>
      <c r="G106" s="3" t="inlineStr">
        <is>
          <t>2025-02-19</t>
        </is>
      </c>
      <c r="H106" s="3" t="n">
        <v>1352</v>
      </c>
      <c r="I106" s="3" t="n">
        <v>879</v>
      </c>
      <c r="J106" s="3" t="n">
        <v>118757</v>
      </c>
      <c r="K106" s="3" t="inlineStr">
        <is>
          <t>In Transit</t>
        </is>
      </c>
      <c r="L106" s="3" t="inlineStr">
        <is>
          <t>In Progress</t>
        </is>
      </c>
      <c r="M106">
        <f>I106*J106</f>
        <v/>
      </c>
      <c r="N106" s="32">
        <f>ROUND(M106/100000, 0)</f>
        <v/>
      </c>
      <c r="O106">
        <f>H106-I106</f>
        <v/>
      </c>
      <c r="P106">
        <f>TEXT(G106,"mmmm")</f>
        <v/>
      </c>
      <c r="Q106">
        <f>YEAR(G106)</f>
        <v/>
      </c>
    </row>
    <row r="107">
      <c r="A107" s="3" t="n">
        <v>109</v>
      </c>
      <c r="B107" s="3" t="inlineStr">
        <is>
          <t>Noida Plant</t>
        </is>
      </c>
      <c r="C107" s="3" t="inlineStr">
        <is>
          <t>Packaging</t>
        </is>
      </c>
      <c r="D107" s="3" t="inlineStr">
        <is>
          <t>Apple</t>
        </is>
      </c>
      <c r="E107" s="3" t="inlineStr">
        <is>
          <t>Smartphone</t>
        </is>
      </c>
      <c r="F107" s="3" t="inlineStr">
        <is>
          <t>iPhone 16</t>
        </is>
      </c>
      <c r="G107" s="3" t="inlineStr">
        <is>
          <t>2025-03-15</t>
        </is>
      </c>
      <c r="H107" s="3" t="n">
        <v>4987</v>
      </c>
      <c r="I107" s="3" t="n">
        <v>2997</v>
      </c>
      <c r="J107" s="3" t="n">
        <v>116883</v>
      </c>
      <c r="K107" s="3" t="inlineStr">
        <is>
          <t>Shipped</t>
        </is>
      </c>
      <c r="L107" s="3" t="inlineStr">
        <is>
          <t>Completed</t>
        </is>
      </c>
      <c r="M107">
        <f>I107*J107</f>
        <v/>
      </c>
      <c r="N107" s="32">
        <f>ROUND(M107/100000, 0)</f>
        <v/>
      </c>
      <c r="O107">
        <f>H107-I107</f>
        <v/>
      </c>
      <c r="P107">
        <f>TEXT(G107,"mmmm")</f>
        <v/>
      </c>
      <c r="Q107">
        <f>YEAR(G107)</f>
        <v/>
      </c>
    </row>
    <row r="108">
      <c r="A108" s="3" t="n">
        <v>110</v>
      </c>
      <c r="B108" s="3" t="inlineStr">
        <is>
          <t>Chennai Plant</t>
        </is>
      </c>
      <c r="C108" s="3" t="inlineStr">
        <is>
          <t>Assembly</t>
        </is>
      </c>
      <c r="D108" s="3" t="inlineStr">
        <is>
          <t>Apple</t>
        </is>
      </c>
      <c r="E108" s="3" t="inlineStr">
        <is>
          <t>Smartphone</t>
        </is>
      </c>
      <c r="F108" s="3" t="inlineStr">
        <is>
          <t>iPhone 16</t>
        </is>
      </c>
      <c r="G108" s="3" t="inlineStr">
        <is>
          <t>2025-10-20</t>
        </is>
      </c>
      <c r="H108" s="3" t="n">
        <v>2392</v>
      </c>
      <c r="I108" s="3" t="n">
        <v>1717</v>
      </c>
      <c r="J108" s="3" t="n">
        <v>119801</v>
      </c>
      <c r="K108" s="3" t="inlineStr">
        <is>
          <t>In Transit</t>
        </is>
      </c>
      <c r="L108" s="3" t="inlineStr">
        <is>
          <t>In Progress</t>
        </is>
      </c>
      <c r="M108">
        <f>I108*J108</f>
        <v/>
      </c>
      <c r="N108" s="32">
        <f>ROUND(M108/100000, 0)</f>
        <v/>
      </c>
      <c r="O108">
        <f>H108-I108</f>
        <v/>
      </c>
      <c r="P108">
        <f>TEXT(G108,"mmmm")</f>
        <v/>
      </c>
      <c r="Q108">
        <f>YEAR(G108)</f>
        <v/>
      </c>
    </row>
    <row r="109">
      <c r="A109" s="3" t="n">
        <v>111</v>
      </c>
      <c r="B109" s="3" t="inlineStr">
        <is>
          <t>Pune Plant</t>
        </is>
      </c>
      <c r="C109" s="3" t="inlineStr">
        <is>
          <t>Assembly</t>
        </is>
      </c>
      <c r="D109" s="3" t="inlineStr">
        <is>
          <t>Apple</t>
        </is>
      </c>
      <c r="E109" s="3" t="inlineStr">
        <is>
          <t>Smartphone</t>
        </is>
      </c>
      <c r="F109" s="3" t="inlineStr">
        <is>
          <t>iPhone 15</t>
        </is>
      </c>
      <c r="G109" s="3" t="inlineStr">
        <is>
          <t>2025-04-11</t>
        </is>
      </c>
      <c r="H109" s="3" t="n">
        <v>4524</v>
      </c>
      <c r="I109" s="3" t="n">
        <v>3595</v>
      </c>
      <c r="J109" s="3" t="n">
        <v>19128</v>
      </c>
      <c r="K109" s="3" t="inlineStr">
        <is>
          <t>In Transit</t>
        </is>
      </c>
      <c r="L109" s="3" t="inlineStr">
        <is>
          <t>In Progress</t>
        </is>
      </c>
      <c r="M109">
        <f>I109*J109</f>
        <v/>
      </c>
      <c r="N109" s="32">
        <f>ROUND(M109/100000, 0)</f>
        <v/>
      </c>
      <c r="O109">
        <f>H109-I109</f>
        <v/>
      </c>
      <c r="P109">
        <f>TEXT(G109,"mmmm")</f>
        <v/>
      </c>
      <c r="Q109">
        <f>YEAR(G109)</f>
        <v/>
      </c>
    </row>
    <row r="110">
      <c r="A110" s="3" t="n">
        <v>112</v>
      </c>
      <c r="B110" s="3" t="inlineStr">
        <is>
          <t>Pune Plant</t>
        </is>
      </c>
      <c r="C110" s="3" t="inlineStr">
        <is>
          <t>Testing</t>
        </is>
      </c>
      <c r="D110" s="3" t="inlineStr">
        <is>
          <t>Apple</t>
        </is>
      </c>
      <c r="E110" s="3" t="inlineStr">
        <is>
          <t>Smartphone</t>
        </is>
      </c>
      <c r="F110" s="3" t="inlineStr">
        <is>
          <t>iPhone 16 Plus</t>
        </is>
      </c>
      <c r="G110" s="3" t="inlineStr">
        <is>
          <t>2025-07-09</t>
        </is>
      </c>
      <c r="H110" s="3" t="n">
        <v>935</v>
      </c>
      <c r="I110" s="3" t="n">
        <v>692</v>
      </c>
      <c r="J110" s="3" t="n">
        <v>26904</v>
      </c>
      <c r="K110" s="3" t="inlineStr">
        <is>
          <t>In Transit</t>
        </is>
      </c>
      <c r="L110" s="3" t="inlineStr">
        <is>
          <t>In Progress</t>
        </is>
      </c>
      <c r="M110">
        <f>I110*J110</f>
        <v/>
      </c>
      <c r="N110" s="32">
        <f>ROUND(M110/100000, 0)</f>
        <v/>
      </c>
      <c r="O110">
        <f>H110-I110</f>
        <v/>
      </c>
      <c r="P110">
        <f>TEXT(G110,"mmmm")</f>
        <v/>
      </c>
      <c r="Q110">
        <f>YEAR(G110)</f>
        <v/>
      </c>
    </row>
    <row r="111">
      <c r="A111" s="3" t="n">
        <v>113</v>
      </c>
      <c r="B111" s="3" t="inlineStr">
        <is>
          <t>Chennai Plant</t>
        </is>
      </c>
      <c r="C111" s="3" t="inlineStr">
        <is>
          <t>Testing</t>
        </is>
      </c>
      <c r="D111" s="3" t="inlineStr">
        <is>
          <t>Apple</t>
        </is>
      </c>
      <c r="E111" s="3" t="inlineStr">
        <is>
          <t>Smartphone</t>
        </is>
      </c>
      <c r="F111" s="3" t="inlineStr">
        <is>
          <t>iPhone 15</t>
        </is>
      </c>
      <c r="G111" s="3" t="inlineStr">
        <is>
          <t>2025-11-14</t>
        </is>
      </c>
      <c r="H111" s="3" t="n">
        <v>890</v>
      </c>
      <c r="I111" s="3" t="n">
        <v>652</v>
      </c>
      <c r="J111" s="3" t="n">
        <v>84955</v>
      </c>
      <c r="K111" s="3" t="inlineStr">
        <is>
          <t>Pending</t>
        </is>
      </c>
      <c r="L111" s="3" t="inlineStr">
        <is>
          <t>Completed</t>
        </is>
      </c>
      <c r="M111">
        <f>I111*J111</f>
        <v/>
      </c>
      <c r="N111" s="32">
        <f>ROUND(M111/100000, 0)</f>
        <v/>
      </c>
      <c r="O111">
        <f>H111-I111</f>
        <v/>
      </c>
      <c r="P111">
        <f>TEXT(G111,"mmmm")</f>
        <v/>
      </c>
      <c r="Q111">
        <f>YEAR(G111)</f>
        <v/>
      </c>
    </row>
    <row r="112">
      <c r="A112" s="3" t="n">
        <v>114</v>
      </c>
      <c r="B112" s="3" t="inlineStr">
        <is>
          <t>Unknown Plant</t>
        </is>
      </c>
      <c r="C112" s="3" t="inlineStr">
        <is>
          <t>Manufacturing</t>
        </is>
      </c>
      <c r="D112" s="3" t="inlineStr">
        <is>
          <t>Apple</t>
        </is>
      </c>
      <c r="E112" s="3" t="inlineStr">
        <is>
          <t>Smartphone</t>
        </is>
      </c>
      <c r="F112" s="3" t="inlineStr">
        <is>
          <t>iPhone 16</t>
        </is>
      </c>
      <c r="G112" s="3" t="inlineStr">
        <is>
          <t>2025-05-27</t>
        </is>
      </c>
      <c r="H112" s="3" t="n">
        <v>3471</v>
      </c>
      <c r="I112" s="3" t="n">
        <v>3363</v>
      </c>
      <c r="J112" s="3" t="n">
        <v>52413</v>
      </c>
      <c r="K112" s="3" t="inlineStr">
        <is>
          <t>In Transit</t>
        </is>
      </c>
      <c r="L112" s="3" t="inlineStr">
        <is>
          <t>Completed</t>
        </is>
      </c>
      <c r="M112">
        <f>I112*J112</f>
        <v/>
      </c>
      <c r="N112" s="32">
        <f>ROUND(M112/100000, 0)</f>
        <v/>
      </c>
      <c r="O112">
        <f>H112-I112</f>
        <v/>
      </c>
      <c r="P112">
        <f>TEXT(G112,"mmmm")</f>
        <v/>
      </c>
      <c r="Q112">
        <f>YEAR(G112)</f>
        <v/>
      </c>
    </row>
    <row r="113">
      <c r="A113" s="3" t="n">
        <v>115</v>
      </c>
      <c r="B113" s="3" t="inlineStr">
        <is>
          <t>Noida Plant</t>
        </is>
      </c>
      <c r="C113" s="3" t="inlineStr">
        <is>
          <t>Manufacturing</t>
        </is>
      </c>
      <c r="D113" s="3" t="inlineStr">
        <is>
          <t>Apple</t>
        </is>
      </c>
      <c r="E113" s="3" t="inlineStr">
        <is>
          <t>Smartphone</t>
        </is>
      </c>
      <c r="F113" s="3" t="inlineStr">
        <is>
          <t>iPhone 16 Plus</t>
        </is>
      </c>
      <c r="G113" s="3" t="inlineStr">
        <is>
          <t>2025-11-05</t>
        </is>
      </c>
      <c r="H113" s="3" t="n">
        <v>4409</v>
      </c>
      <c r="I113" s="3" t="n">
        <v>4382</v>
      </c>
      <c r="J113" s="3" t="n">
        <v>97309</v>
      </c>
      <c r="K113" s="3" t="inlineStr">
        <is>
          <t>In Transit</t>
        </is>
      </c>
      <c r="L113" s="3" t="inlineStr">
        <is>
          <t>Completed</t>
        </is>
      </c>
      <c r="M113">
        <f>I113*J113</f>
        <v/>
      </c>
      <c r="N113" s="32">
        <f>ROUND(M113/100000, 0)</f>
        <v/>
      </c>
      <c r="O113">
        <f>H113-I113</f>
        <v/>
      </c>
      <c r="P113">
        <f>TEXT(G113,"mmmm")</f>
        <v/>
      </c>
      <c r="Q113">
        <f>YEAR(G113)</f>
        <v/>
      </c>
    </row>
    <row r="114">
      <c r="A114" s="3" t="n">
        <v>116</v>
      </c>
      <c r="B114" s="3" t="inlineStr">
        <is>
          <t>Noida Plant</t>
        </is>
      </c>
      <c r="C114" s="3" t="inlineStr">
        <is>
          <t>Packaging</t>
        </is>
      </c>
      <c r="D114" s="3" t="inlineStr">
        <is>
          <t>Apple</t>
        </is>
      </c>
      <c r="E114" s="3" t="inlineStr">
        <is>
          <t>Smartphone</t>
        </is>
      </c>
      <c r="F114" s="3" t="inlineStr">
        <is>
          <t>iPhone 16 Plus</t>
        </is>
      </c>
      <c r="G114" s="3" t="inlineStr">
        <is>
          <t>2025-04-08</t>
        </is>
      </c>
      <c r="H114" s="3" t="n">
        <v>513</v>
      </c>
      <c r="I114" s="3" t="n">
        <v>389</v>
      </c>
      <c r="J114" s="3" t="n">
        <v>44498</v>
      </c>
      <c r="K114" s="3" t="inlineStr">
        <is>
          <t>Shipped</t>
        </is>
      </c>
      <c r="L114" s="3" t="inlineStr">
        <is>
          <t>Completed</t>
        </is>
      </c>
      <c r="M114">
        <f>I114*J114</f>
        <v/>
      </c>
      <c r="N114" s="32">
        <f>ROUND(M114/100000, 0)</f>
        <v/>
      </c>
      <c r="O114">
        <f>H114-I114</f>
        <v/>
      </c>
      <c r="P114">
        <f>TEXT(G114,"mmmm")</f>
        <v/>
      </c>
      <c r="Q114">
        <f>YEAR(G114)</f>
        <v/>
      </c>
    </row>
    <row r="115">
      <c r="A115" s="3" t="n">
        <v>117</v>
      </c>
      <c r="B115" s="3" t="inlineStr">
        <is>
          <t>Noida Plant</t>
        </is>
      </c>
      <c r="C115" s="3" t="inlineStr">
        <is>
          <t>Packaging</t>
        </is>
      </c>
      <c r="D115" s="3" t="inlineStr">
        <is>
          <t>Apple</t>
        </is>
      </c>
      <c r="E115" s="3" t="inlineStr">
        <is>
          <t>Smartphone</t>
        </is>
      </c>
      <c r="F115" s="3" t="inlineStr">
        <is>
          <t>iPhone 16 Plus</t>
        </is>
      </c>
      <c r="G115" s="3" t="inlineStr">
        <is>
          <t>2025-05-25</t>
        </is>
      </c>
      <c r="H115" s="3" t="n">
        <v>4984</v>
      </c>
      <c r="I115" s="3" t="n">
        <v>3699</v>
      </c>
      <c r="J115" s="3" t="n">
        <v>61691</v>
      </c>
      <c r="K115" s="3" t="inlineStr">
        <is>
          <t>Pending</t>
        </is>
      </c>
      <c r="L115" s="3" t="inlineStr">
        <is>
          <t>In Progress</t>
        </is>
      </c>
      <c r="M115">
        <f>I115*J115</f>
        <v/>
      </c>
      <c r="N115" s="32">
        <f>ROUND(M115/100000, 0)</f>
        <v/>
      </c>
      <c r="O115">
        <f>H115-I115</f>
        <v/>
      </c>
      <c r="P115">
        <f>TEXT(G115,"mmmm")</f>
        <v/>
      </c>
      <c r="Q115">
        <f>YEAR(G115)</f>
        <v/>
      </c>
    </row>
    <row r="116">
      <c r="A116" s="3" t="n">
        <v>118</v>
      </c>
      <c r="B116" s="3" t="inlineStr">
        <is>
          <t>Pune Plant</t>
        </is>
      </c>
      <c r="C116" s="3" t="inlineStr">
        <is>
          <t>Manufacturing</t>
        </is>
      </c>
      <c r="D116" s="3" t="inlineStr">
        <is>
          <t>Apple</t>
        </is>
      </c>
      <c r="E116" s="3" t="inlineStr">
        <is>
          <t>Smartphone</t>
        </is>
      </c>
      <c r="F116" s="3" t="inlineStr">
        <is>
          <t>iPhone 16</t>
        </is>
      </c>
      <c r="G116" s="3" t="inlineStr">
        <is>
          <t>2025-05-28</t>
        </is>
      </c>
      <c r="H116" s="3" t="n">
        <v>4893</v>
      </c>
      <c r="I116" s="3" t="n">
        <v>4266</v>
      </c>
      <c r="J116" s="3" t="n">
        <v>21230</v>
      </c>
      <c r="K116" s="3" t="inlineStr">
        <is>
          <t>In Transit</t>
        </is>
      </c>
      <c r="L116" s="3" t="inlineStr">
        <is>
          <t>In Progress</t>
        </is>
      </c>
      <c r="M116">
        <f>I116*J116</f>
        <v/>
      </c>
      <c r="N116" s="32">
        <f>ROUND(M116/100000, 0)</f>
        <v/>
      </c>
      <c r="O116">
        <f>H116-I116</f>
        <v/>
      </c>
      <c r="P116">
        <f>TEXT(G116,"mmmm")</f>
        <v/>
      </c>
      <c r="Q116">
        <f>YEAR(G116)</f>
        <v/>
      </c>
    </row>
    <row r="117">
      <c r="A117" s="3" t="n">
        <v>119</v>
      </c>
      <c r="B117" s="3" t="inlineStr">
        <is>
          <t>Chennai Plant</t>
        </is>
      </c>
      <c r="C117" s="3" t="inlineStr">
        <is>
          <t>Assembly</t>
        </is>
      </c>
      <c r="D117" s="3" t="inlineStr">
        <is>
          <t>Apple</t>
        </is>
      </c>
      <c r="E117" s="3" t="inlineStr">
        <is>
          <t>Smartphone</t>
        </is>
      </c>
      <c r="F117" s="3" t="inlineStr">
        <is>
          <t>iPhone 16 Plus</t>
        </is>
      </c>
      <c r="G117" s="3" t="inlineStr">
        <is>
          <t>2025-11-02</t>
        </is>
      </c>
      <c r="H117" s="3" t="n">
        <v>517</v>
      </c>
      <c r="I117" s="3" t="n">
        <v>376</v>
      </c>
      <c r="J117" s="3" t="n">
        <v>14149</v>
      </c>
      <c r="K117" s="3" t="inlineStr">
        <is>
          <t>Pending</t>
        </is>
      </c>
      <c r="L117" s="3" t="inlineStr">
        <is>
          <t>In Progress</t>
        </is>
      </c>
      <c r="M117">
        <f>I117*J117</f>
        <v/>
      </c>
      <c r="N117" s="32">
        <f>ROUND(M117/100000, 0)</f>
        <v/>
      </c>
      <c r="O117">
        <f>H117-I117</f>
        <v/>
      </c>
      <c r="P117">
        <f>TEXT(G117,"mmmm")</f>
        <v/>
      </c>
      <c r="Q117">
        <f>YEAR(G117)</f>
        <v/>
      </c>
    </row>
    <row r="118">
      <c r="A118" s="3" t="n">
        <v>120</v>
      </c>
      <c r="B118" s="3" t="inlineStr">
        <is>
          <t>Pune Plant</t>
        </is>
      </c>
      <c r="C118" s="3" t="inlineStr">
        <is>
          <t>Testing</t>
        </is>
      </c>
      <c r="D118" s="3" t="inlineStr">
        <is>
          <t>Apple</t>
        </is>
      </c>
      <c r="E118" s="3" t="inlineStr">
        <is>
          <t>Smartphone</t>
        </is>
      </c>
      <c r="F118" s="3" t="inlineStr">
        <is>
          <t>iPhone 15</t>
        </is>
      </c>
      <c r="G118" s="3" t="inlineStr">
        <is>
          <t>2025-06-23</t>
        </is>
      </c>
      <c r="H118" s="3" t="n">
        <v>2898</v>
      </c>
      <c r="I118" s="3" t="n">
        <v>2216</v>
      </c>
      <c r="J118" s="3" t="n">
        <v>54938</v>
      </c>
      <c r="K118" s="3" t="inlineStr">
        <is>
          <t>In Transit</t>
        </is>
      </c>
      <c r="L118" s="3" t="inlineStr">
        <is>
          <t>Completed</t>
        </is>
      </c>
      <c r="M118">
        <f>I118*J118</f>
        <v/>
      </c>
      <c r="N118" s="32">
        <f>ROUND(M118/100000, 0)</f>
        <v/>
      </c>
      <c r="O118">
        <f>H118-I118</f>
        <v/>
      </c>
      <c r="P118">
        <f>TEXT(G118,"mmmm")</f>
        <v/>
      </c>
      <c r="Q118">
        <f>YEAR(G118)</f>
        <v/>
      </c>
    </row>
    <row r="119">
      <c r="A119" s="3" t="n">
        <v>122</v>
      </c>
      <c r="B119" s="3" t="inlineStr">
        <is>
          <t>Chennai Plant</t>
        </is>
      </c>
      <c r="C119" s="3" t="inlineStr">
        <is>
          <t>Packaging</t>
        </is>
      </c>
      <c r="D119" s="3" t="inlineStr">
        <is>
          <t>Xiaomi</t>
        </is>
      </c>
      <c r="E119" s="3" t="inlineStr">
        <is>
          <t>Smartphone</t>
        </is>
      </c>
      <c r="F119" s="3" t="inlineStr">
        <is>
          <t>Redmi Note 14</t>
        </is>
      </c>
      <c r="G119" s="3" t="inlineStr">
        <is>
          <t>2025-02-10</t>
        </is>
      </c>
      <c r="H119" s="3" t="n">
        <v>2181</v>
      </c>
      <c r="I119" s="3" t="n">
        <v>2124</v>
      </c>
      <c r="J119" s="3" t="n">
        <v>112063</v>
      </c>
      <c r="K119" s="3" t="inlineStr">
        <is>
          <t>Shipped</t>
        </is>
      </c>
      <c r="L119" s="3" t="inlineStr">
        <is>
          <t>Completed</t>
        </is>
      </c>
      <c r="M119">
        <f>I119*J119</f>
        <v/>
      </c>
      <c r="N119" s="32">
        <f>ROUND(M119/100000, 0)</f>
        <v/>
      </c>
      <c r="O119">
        <f>H119-I119</f>
        <v/>
      </c>
      <c r="P119">
        <f>TEXT(G119,"mmmm")</f>
        <v/>
      </c>
      <c r="Q119">
        <f>YEAR(G119)</f>
        <v/>
      </c>
    </row>
    <row r="120">
      <c r="A120" s="3" t="n">
        <v>123</v>
      </c>
      <c r="B120" s="3" t="inlineStr">
        <is>
          <t>Bengaluru Plant</t>
        </is>
      </c>
      <c r="C120" s="3" t="inlineStr">
        <is>
          <t>Manufacturing</t>
        </is>
      </c>
      <c r="D120" s="3" t="inlineStr">
        <is>
          <t>Xiaomi</t>
        </is>
      </c>
      <c r="E120" s="3" t="inlineStr">
        <is>
          <t>Smartphone</t>
        </is>
      </c>
      <c r="F120" s="3" t="inlineStr">
        <is>
          <t>Xiaomi 14</t>
        </is>
      </c>
      <c r="G120" s="3" t="inlineStr">
        <is>
          <t>2025-09-05</t>
        </is>
      </c>
      <c r="H120" s="3" t="n">
        <v>1568</v>
      </c>
      <c r="I120" s="3" t="n">
        <v>1389</v>
      </c>
      <c r="J120" s="3" t="n">
        <v>52082</v>
      </c>
      <c r="K120" s="3" t="inlineStr">
        <is>
          <t>In Transit</t>
        </is>
      </c>
      <c r="L120" s="3" t="inlineStr">
        <is>
          <t>Completed</t>
        </is>
      </c>
      <c r="M120">
        <f>I120*J120</f>
        <v/>
      </c>
      <c r="N120" s="32">
        <f>ROUND(M120/100000, 0)</f>
        <v/>
      </c>
      <c r="O120">
        <f>H120-I120</f>
        <v/>
      </c>
      <c r="P120">
        <f>TEXT(G120,"mmmm")</f>
        <v/>
      </c>
      <c r="Q120">
        <f>YEAR(G120)</f>
        <v/>
      </c>
    </row>
    <row r="121">
      <c r="A121" s="3" t="n">
        <v>124</v>
      </c>
      <c r="B121" s="3" t="inlineStr">
        <is>
          <t>Chennai Plant</t>
        </is>
      </c>
      <c r="C121" s="3" t="inlineStr">
        <is>
          <t>Testing</t>
        </is>
      </c>
      <c r="D121" s="3" t="inlineStr">
        <is>
          <t>Xiaomi</t>
        </is>
      </c>
      <c r="E121" s="3" t="inlineStr">
        <is>
          <t>Smartphone</t>
        </is>
      </c>
      <c r="F121" s="3" t="inlineStr">
        <is>
          <t>Redmi 14C</t>
        </is>
      </c>
      <c r="G121" s="3" t="inlineStr">
        <is>
          <t>2025-06-03</t>
        </is>
      </c>
      <c r="H121" s="3" t="n">
        <v>692</v>
      </c>
      <c r="I121" s="3" t="n">
        <v>466</v>
      </c>
      <c r="J121" s="3" t="n">
        <v>106560</v>
      </c>
      <c r="K121" s="3" t="inlineStr">
        <is>
          <t>Pending</t>
        </is>
      </c>
      <c r="L121" s="3" t="inlineStr">
        <is>
          <t>In Progress</t>
        </is>
      </c>
      <c r="M121">
        <f>I121*J121</f>
        <v/>
      </c>
      <c r="N121" s="32">
        <f>ROUND(M121/100000, 0)</f>
        <v/>
      </c>
      <c r="O121">
        <f>H121-I121</f>
        <v/>
      </c>
      <c r="P121">
        <f>TEXT(G121,"mmmm")</f>
        <v/>
      </c>
      <c r="Q121">
        <f>YEAR(G121)</f>
        <v/>
      </c>
    </row>
    <row r="122">
      <c r="A122" s="3" t="n">
        <v>125</v>
      </c>
      <c r="B122" s="3" t="inlineStr">
        <is>
          <t>Bengaluru Plant</t>
        </is>
      </c>
      <c r="C122" s="3" t="inlineStr">
        <is>
          <t>Packaging</t>
        </is>
      </c>
      <c r="D122" s="3" t="inlineStr">
        <is>
          <t>Xiaomi</t>
        </is>
      </c>
      <c r="E122" s="3" t="inlineStr">
        <is>
          <t>Smartphone</t>
        </is>
      </c>
      <c r="F122" s="3" t="inlineStr">
        <is>
          <t>Redmi 14C</t>
        </is>
      </c>
      <c r="G122" s="3" t="inlineStr">
        <is>
          <t>2025-10-17</t>
        </is>
      </c>
      <c r="H122" s="3" t="n">
        <v>3270</v>
      </c>
      <c r="I122" s="3" t="n">
        <v>2771</v>
      </c>
      <c r="J122" s="3" t="n">
        <v>62621</v>
      </c>
      <c r="K122" s="3" t="inlineStr">
        <is>
          <t>Pending</t>
        </is>
      </c>
      <c r="L122" s="3" t="inlineStr">
        <is>
          <t>Completed</t>
        </is>
      </c>
      <c r="M122">
        <f>I122*J122</f>
        <v/>
      </c>
      <c r="N122" s="32">
        <f>ROUND(M122/100000, 0)</f>
        <v/>
      </c>
      <c r="O122">
        <f>H122-I122</f>
        <v/>
      </c>
      <c r="P122">
        <f>TEXT(G122,"mmmm")</f>
        <v/>
      </c>
      <c r="Q122">
        <f>YEAR(G122)</f>
        <v/>
      </c>
    </row>
    <row r="123">
      <c r="A123" s="3" t="n">
        <v>126</v>
      </c>
      <c r="B123" s="3" t="inlineStr">
        <is>
          <t>Chennai Plant</t>
        </is>
      </c>
      <c r="C123" s="3" t="inlineStr">
        <is>
          <t>Packaging</t>
        </is>
      </c>
      <c r="D123" s="3" t="inlineStr">
        <is>
          <t>Xiaomi</t>
        </is>
      </c>
      <c r="E123" s="3" t="inlineStr">
        <is>
          <t>Smartphone</t>
        </is>
      </c>
      <c r="F123" s="3" t="inlineStr">
        <is>
          <t>Redmi 14C</t>
        </is>
      </c>
      <c r="G123" s="3" t="inlineStr">
        <is>
          <t>2025-03-24</t>
        </is>
      </c>
      <c r="H123" s="3" t="n">
        <v>1346</v>
      </c>
      <c r="I123" s="3" t="n">
        <v>837</v>
      </c>
      <c r="J123" s="3" t="n">
        <v>27032</v>
      </c>
      <c r="K123" s="3" t="inlineStr">
        <is>
          <t>Pending</t>
        </is>
      </c>
      <c r="L123" s="3" t="inlineStr">
        <is>
          <t>In Progress</t>
        </is>
      </c>
      <c r="M123">
        <f>I123*J123</f>
        <v/>
      </c>
      <c r="N123" s="32">
        <f>ROUND(M123/100000, 0)</f>
        <v/>
      </c>
      <c r="O123">
        <f>H123-I123</f>
        <v/>
      </c>
      <c r="P123">
        <f>TEXT(G123,"mmmm")</f>
        <v/>
      </c>
      <c r="Q123">
        <f>YEAR(G123)</f>
        <v/>
      </c>
    </row>
    <row r="124">
      <c r="A124" s="3" t="n">
        <v>127</v>
      </c>
      <c r="B124" s="3" t="inlineStr">
        <is>
          <t>Bengaluru Plant</t>
        </is>
      </c>
      <c r="C124" s="3" t="inlineStr">
        <is>
          <t>Testing</t>
        </is>
      </c>
      <c r="D124" s="3" t="inlineStr">
        <is>
          <t>Xiaomi</t>
        </is>
      </c>
      <c r="E124" s="3" t="inlineStr">
        <is>
          <t>Smartphone</t>
        </is>
      </c>
      <c r="F124" s="3" t="inlineStr">
        <is>
          <t>Xiaomi 14</t>
        </is>
      </c>
      <c r="G124" s="3" t="inlineStr">
        <is>
          <t>2025-03-18</t>
        </is>
      </c>
      <c r="H124" s="3" t="n">
        <v>3581</v>
      </c>
      <c r="I124" s="3" t="n">
        <v>3216</v>
      </c>
      <c r="J124" s="3" t="n">
        <v>103617</v>
      </c>
      <c r="K124" s="3" t="inlineStr">
        <is>
          <t>In Transit</t>
        </is>
      </c>
      <c r="L124" s="3" t="inlineStr">
        <is>
          <t>In Progress</t>
        </is>
      </c>
      <c r="M124">
        <f>I124*J124</f>
        <v/>
      </c>
      <c r="N124" s="32">
        <f>ROUND(M124/100000, 0)</f>
        <v/>
      </c>
      <c r="O124">
        <f>H124-I124</f>
        <v/>
      </c>
      <c r="P124">
        <f>TEXT(G124,"mmmm")</f>
        <v/>
      </c>
      <c r="Q124">
        <f>YEAR(G124)</f>
        <v/>
      </c>
    </row>
    <row r="125">
      <c r="A125" s="3" t="n">
        <v>128</v>
      </c>
      <c r="B125" s="3" t="inlineStr">
        <is>
          <t>Pune Plant</t>
        </is>
      </c>
      <c r="C125" s="3" t="inlineStr">
        <is>
          <t>Assembly</t>
        </is>
      </c>
      <c r="D125" s="3" t="inlineStr">
        <is>
          <t>Xiaomi</t>
        </is>
      </c>
      <c r="E125" s="3" t="inlineStr">
        <is>
          <t>Smartphone</t>
        </is>
      </c>
      <c r="F125" s="3" t="inlineStr">
        <is>
          <t>Xiaomi 14</t>
        </is>
      </c>
      <c r="G125" s="3" t="inlineStr">
        <is>
          <t>2025-07-30</t>
        </is>
      </c>
      <c r="H125" s="3" t="n">
        <v>1146</v>
      </c>
      <c r="I125" s="3" t="n">
        <v>716</v>
      </c>
      <c r="J125" s="3" t="n">
        <v>25648</v>
      </c>
      <c r="K125" s="3" t="inlineStr">
        <is>
          <t>Pending</t>
        </is>
      </c>
      <c r="L125" s="3" t="inlineStr">
        <is>
          <t>Completed</t>
        </is>
      </c>
      <c r="M125">
        <f>I125*J125</f>
        <v/>
      </c>
      <c r="N125" s="32">
        <f>ROUND(M125/100000, 0)</f>
        <v/>
      </c>
      <c r="O125">
        <f>H125-I125</f>
        <v/>
      </c>
      <c r="P125">
        <f>TEXT(G125,"mmmm")</f>
        <v/>
      </c>
      <c r="Q125">
        <f>YEAR(G125)</f>
        <v/>
      </c>
    </row>
    <row r="126">
      <c r="A126" s="3" t="n">
        <v>129</v>
      </c>
      <c r="B126" s="3" t="inlineStr">
        <is>
          <t>Noida Plant</t>
        </is>
      </c>
      <c r="C126" s="3" t="inlineStr">
        <is>
          <t>Manufacturing</t>
        </is>
      </c>
      <c r="D126" s="3" t="inlineStr">
        <is>
          <t>Xiaomi</t>
        </is>
      </c>
      <c r="E126" s="3" t="inlineStr">
        <is>
          <t>Smartphone</t>
        </is>
      </c>
      <c r="F126" s="3" t="inlineStr">
        <is>
          <t>Redmi 14C</t>
        </is>
      </c>
      <c r="G126" s="3" t="inlineStr">
        <is>
          <t>2025-07-19</t>
        </is>
      </c>
      <c r="H126" s="3" t="n">
        <v>4061</v>
      </c>
      <c r="I126" s="3" t="n">
        <v>3249</v>
      </c>
      <c r="J126" s="3" t="n">
        <v>86914</v>
      </c>
      <c r="K126" s="3" t="inlineStr">
        <is>
          <t>In Transit</t>
        </is>
      </c>
      <c r="L126" s="3" t="inlineStr">
        <is>
          <t>Completed</t>
        </is>
      </c>
      <c r="M126">
        <f>I126*J126</f>
        <v/>
      </c>
      <c r="N126" s="32">
        <f>ROUND(M126/100000, 0)</f>
        <v/>
      </c>
      <c r="O126">
        <f>H126-I126</f>
        <v/>
      </c>
      <c r="P126">
        <f>TEXT(G126,"mmmm")</f>
        <v/>
      </c>
      <c r="Q126">
        <f>YEAR(G126)</f>
        <v/>
      </c>
    </row>
    <row r="127">
      <c r="A127" s="3" t="n">
        <v>130</v>
      </c>
      <c r="B127" s="3" t="inlineStr">
        <is>
          <t>Noida Plant</t>
        </is>
      </c>
      <c r="C127" s="3" t="inlineStr">
        <is>
          <t>Packaging</t>
        </is>
      </c>
      <c r="D127" s="3" t="inlineStr">
        <is>
          <t>Xiaomi</t>
        </is>
      </c>
      <c r="E127" s="3" t="inlineStr">
        <is>
          <t>Smartphone</t>
        </is>
      </c>
      <c r="F127" s="3" t="inlineStr">
        <is>
          <t>Xiaomi 14</t>
        </is>
      </c>
      <c r="G127" s="3" t="inlineStr">
        <is>
          <t>2025-01-24</t>
        </is>
      </c>
      <c r="H127" s="3" t="n">
        <v>4900</v>
      </c>
      <c r="I127" s="3" t="n">
        <v>3253</v>
      </c>
      <c r="J127" s="3" t="n">
        <v>88343</v>
      </c>
      <c r="K127" s="3" t="inlineStr">
        <is>
          <t>In Transit</t>
        </is>
      </c>
      <c r="L127" s="3" t="inlineStr">
        <is>
          <t>Completed</t>
        </is>
      </c>
      <c r="M127">
        <f>I127*J127</f>
        <v/>
      </c>
      <c r="N127" s="32">
        <f>ROUND(M127/100000, 0)</f>
        <v/>
      </c>
      <c r="O127">
        <f>H127-I127</f>
        <v/>
      </c>
      <c r="P127">
        <f>TEXT(G127,"mmmm")</f>
        <v/>
      </c>
      <c r="Q127">
        <f>YEAR(G127)</f>
        <v/>
      </c>
    </row>
    <row r="128">
      <c r="A128" s="3" t="n">
        <v>131</v>
      </c>
      <c r="B128" s="3" t="inlineStr">
        <is>
          <t>Chennai Plant</t>
        </is>
      </c>
      <c r="C128" s="3" t="inlineStr">
        <is>
          <t>Assembly</t>
        </is>
      </c>
      <c r="D128" s="3" t="inlineStr">
        <is>
          <t>Xiaomi</t>
        </is>
      </c>
      <c r="E128" s="3" t="inlineStr">
        <is>
          <t>Smartphone</t>
        </is>
      </c>
      <c r="F128" s="3" t="inlineStr">
        <is>
          <t>Redmi Note 14</t>
        </is>
      </c>
      <c r="G128" s="3" t="inlineStr">
        <is>
          <t>2025-03-17</t>
        </is>
      </c>
      <c r="H128" s="3" t="n">
        <v>827</v>
      </c>
      <c r="I128" s="3" t="n">
        <v>636</v>
      </c>
      <c r="J128" s="3" t="n">
        <v>96289</v>
      </c>
      <c r="K128" s="3" t="inlineStr">
        <is>
          <t>Pending</t>
        </is>
      </c>
      <c r="L128" s="3" t="inlineStr">
        <is>
          <t>Completed</t>
        </is>
      </c>
      <c r="M128">
        <f>I128*J128</f>
        <v/>
      </c>
      <c r="N128" s="32">
        <f>ROUND(M128/100000, 0)</f>
        <v/>
      </c>
      <c r="O128">
        <f>H128-I128</f>
        <v/>
      </c>
      <c r="P128">
        <f>TEXT(G128,"mmmm")</f>
        <v/>
      </c>
      <c r="Q128">
        <f>YEAR(G128)</f>
        <v/>
      </c>
    </row>
    <row r="129">
      <c r="A129" s="3" t="n">
        <v>132</v>
      </c>
      <c r="B129" s="3" t="inlineStr">
        <is>
          <t>Bengaluru Plant</t>
        </is>
      </c>
      <c r="C129" s="3" t="inlineStr">
        <is>
          <t>Testing</t>
        </is>
      </c>
      <c r="D129" s="3" t="inlineStr">
        <is>
          <t>Xiaomi</t>
        </is>
      </c>
      <c r="E129" s="3" t="inlineStr">
        <is>
          <t>Smartphone</t>
        </is>
      </c>
      <c r="F129" s="3" t="inlineStr">
        <is>
          <t>Xiaomi 14</t>
        </is>
      </c>
      <c r="G129" s="3" t="inlineStr">
        <is>
          <t>2025-07-05</t>
        </is>
      </c>
      <c r="H129" s="3" t="n">
        <v>2852</v>
      </c>
      <c r="I129" s="3" t="n">
        <v>2011</v>
      </c>
      <c r="J129" s="3" t="n">
        <v>57760</v>
      </c>
      <c r="K129" s="3" t="inlineStr">
        <is>
          <t>Shipped</t>
        </is>
      </c>
      <c r="L129" s="3" t="inlineStr">
        <is>
          <t>In Progress</t>
        </is>
      </c>
      <c r="M129">
        <f>I129*J129</f>
        <v/>
      </c>
      <c r="N129" s="32">
        <f>ROUND(M129/100000, 0)</f>
        <v/>
      </c>
      <c r="O129">
        <f>H129-I129</f>
        <v/>
      </c>
      <c r="P129">
        <f>TEXT(G129,"mmmm")</f>
        <v/>
      </c>
      <c r="Q129">
        <f>YEAR(G129)</f>
        <v/>
      </c>
    </row>
    <row r="130">
      <c r="A130" s="3" t="n">
        <v>133</v>
      </c>
      <c r="B130" s="3" t="inlineStr">
        <is>
          <t>Sriperumbudur Plant</t>
        </is>
      </c>
      <c r="C130" s="3" t="inlineStr">
        <is>
          <t>Assembly</t>
        </is>
      </c>
      <c r="D130" s="3" t="inlineStr">
        <is>
          <t>Xiaomi</t>
        </is>
      </c>
      <c r="E130" s="3" t="inlineStr">
        <is>
          <t>Smartphone</t>
        </is>
      </c>
      <c r="F130" s="3" t="inlineStr">
        <is>
          <t>Xiaomi 14</t>
        </is>
      </c>
      <c r="G130" s="3" t="inlineStr">
        <is>
          <t>2025-08-06</t>
        </is>
      </c>
      <c r="H130" s="3" t="n">
        <v>3879</v>
      </c>
      <c r="I130" s="3" t="n">
        <v>3430</v>
      </c>
      <c r="J130" s="3" t="n">
        <v>17968</v>
      </c>
      <c r="K130" s="3" t="inlineStr">
        <is>
          <t>Pending</t>
        </is>
      </c>
      <c r="L130" s="3" t="inlineStr">
        <is>
          <t>Completed</t>
        </is>
      </c>
      <c r="M130">
        <f>I130*J130</f>
        <v/>
      </c>
      <c r="N130" s="32">
        <f>ROUND(M130/100000, 0)</f>
        <v/>
      </c>
      <c r="O130">
        <f>H130-I130</f>
        <v/>
      </c>
      <c r="P130">
        <f>TEXT(G130,"mmmm")</f>
        <v/>
      </c>
      <c r="Q130">
        <f>YEAR(G130)</f>
        <v/>
      </c>
    </row>
    <row r="131">
      <c r="A131" s="3" t="n">
        <v>134</v>
      </c>
      <c r="B131" s="3" t="inlineStr">
        <is>
          <t>Sriperumbudur Plant</t>
        </is>
      </c>
      <c r="C131" s="3" t="inlineStr">
        <is>
          <t>Packaging</t>
        </is>
      </c>
      <c r="D131" s="3" t="inlineStr">
        <is>
          <t>Xiaomi</t>
        </is>
      </c>
      <c r="E131" s="3" t="inlineStr">
        <is>
          <t>Smartphone</t>
        </is>
      </c>
      <c r="F131" s="3" t="inlineStr">
        <is>
          <t>Redmi Note 14</t>
        </is>
      </c>
      <c r="G131" s="3" t="inlineStr">
        <is>
          <t>2025-04-29</t>
        </is>
      </c>
      <c r="H131" s="3" t="n">
        <v>1754</v>
      </c>
      <c r="I131" s="3" t="n">
        <v>1499</v>
      </c>
      <c r="J131" s="3" t="n">
        <v>35939</v>
      </c>
      <c r="K131" s="3" t="inlineStr">
        <is>
          <t>Pending</t>
        </is>
      </c>
      <c r="L131" s="3" t="inlineStr">
        <is>
          <t>Completed</t>
        </is>
      </c>
      <c r="M131">
        <f>I131*J131</f>
        <v/>
      </c>
      <c r="N131" s="32">
        <f>ROUND(M131/100000, 0)</f>
        <v/>
      </c>
      <c r="O131">
        <f>H131-I131</f>
        <v/>
      </c>
      <c r="P131">
        <f>TEXT(G131,"mmmm")</f>
        <v/>
      </c>
      <c r="Q131">
        <f>YEAR(G131)</f>
        <v/>
      </c>
    </row>
    <row r="132">
      <c r="A132" s="3" t="n">
        <v>135</v>
      </c>
      <c r="B132" s="3" t="inlineStr">
        <is>
          <t>Chennai Plant</t>
        </is>
      </c>
      <c r="C132" s="3" t="inlineStr">
        <is>
          <t>Testing</t>
        </is>
      </c>
      <c r="D132" s="3" t="inlineStr">
        <is>
          <t>Xiaomi</t>
        </is>
      </c>
      <c r="E132" s="3" t="inlineStr">
        <is>
          <t>Smartphone</t>
        </is>
      </c>
      <c r="F132" s="3" t="inlineStr">
        <is>
          <t>Redmi 14C</t>
        </is>
      </c>
      <c r="G132" s="3" t="inlineStr">
        <is>
          <t>2025-07-16</t>
        </is>
      </c>
      <c r="H132" s="3" t="n">
        <v>2331</v>
      </c>
      <c r="I132" s="3" t="n">
        <v>1511</v>
      </c>
      <c r="J132" s="3" t="n">
        <v>23990</v>
      </c>
      <c r="K132" s="3" t="inlineStr">
        <is>
          <t>Shipped</t>
        </is>
      </c>
      <c r="L132" s="3" t="inlineStr">
        <is>
          <t>Completed</t>
        </is>
      </c>
      <c r="M132">
        <f>I132*J132</f>
        <v/>
      </c>
      <c r="N132" s="32">
        <f>ROUND(M132/100000, 0)</f>
        <v/>
      </c>
      <c r="O132">
        <f>H132-I132</f>
        <v/>
      </c>
      <c r="P132">
        <f>TEXT(G132,"mmmm")</f>
        <v/>
      </c>
      <c r="Q132">
        <f>YEAR(G132)</f>
        <v/>
      </c>
    </row>
    <row r="133">
      <c r="A133" s="3" t="n">
        <v>136</v>
      </c>
      <c r="B133" s="3" t="inlineStr">
        <is>
          <t>Bengaluru Plant</t>
        </is>
      </c>
      <c r="C133" s="3" t="inlineStr">
        <is>
          <t>Testing</t>
        </is>
      </c>
      <c r="D133" s="3" t="inlineStr">
        <is>
          <t>Xiaomi</t>
        </is>
      </c>
      <c r="E133" s="3" t="inlineStr">
        <is>
          <t>Smartphone</t>
        </is>
      </c>
      <c r="F133" s="3" t="inlineStr">
        <is>
          <t>Redmi 14C</t>
        </is>
      </c>
      <c r="G133" s="3" t="inlineStr">
        <is>
          <t>2025-02-15</t>
        </is>
      </c>
      <c r="H133" s="3" t="n">
        <v>2629</v>
      </c>
      <c r="I133" s="3" t="n">
        <v>2341</v>
      </c>
      <c r="J133" s="3" t="n">
        <v>108139</v>
      </c>
      <c r="K133" s="3" t="inlineStr">
        <is>
          <t>In Transit</t>
        </is>
      </c>
      <c r="L133" s="3" t="inlineStr">
        <is>
          <t>In Progress</t>
        </is>
      </c>
      <c r="M133">
        <f>I133*J133</f>
        <v/>
      </c>
      <c r="N133" s="32">
        <f>ROUND(M133/100000, 0)</f>
        <v/>
      </c>
      <c r="O133">
        <f>H133-I133</f>
        <v/>
      </c>
      <c r="P133">
        <f>TEXT(G133,"mmmm")</f>
        <v/>
      </c>
      <c r="Q133">
        <f>YEAR(G133)</f>
        <v/>
      </c>
    </row>
    <row r="134">
      <c r="A134" s="3" t="n">
        <v>137</v>
      </c>
      <c r="B134" s="3" t="inlineStr">
        <is>
          <t>Chennai Plant</t>
        </is>
      </c>
      <c r="C134" s="3" t="inlineStr">
        <is>
          <t>Testing</t>
        </is>
      </c>
      <c r="D134" s="3" t="inlineStr">
        <is>
          <t>Xiaomi</t>
        </is>
      </c>
      <c r="E134" s="3" t="inlineStr">
        <is>
          <t>Smartphone</t>
        </is>
      </c>
      <c r="F134" s="3" t="inlineStr">
        <is>
          <t>Xiaomi 14</t>
        </is>
      </c>
      <c r="G134" s="3" t="inlineStr">
        <is>
          <t>2025-06-18</t>
        </is>
      </c>
      <c r="H134" s="3" t="n">
        <v>1710</v>
      </c>
      <c r="I134" s="3" t="n">
        <v>1699</v>
      </c>
      <c r="J134" s="3" t="n">
        <v>41695</v>
      </c>
      <c r="K134" s="3" t="inlineStr">
        <is>
          <t>In Transit</t>
        </is>
      </c>
      <c r="L134" s="3" t="inlineStr">
        <is>
          <t>Completed</t>
        </is>
      </c>
      <c r="M134">
        <f>I134*J134</f>
        <v/>
      </c>
      <c r="N134" s="32">
        <f>ROUND(M134/100000, 0)</f>
        <v/>
      </c>
      <c r="O134">
        <f>H134-I134</f>
        <v/>
      </c>
      <c r="P134">
        <f>TEXT(G134,"mmmm")</f>
        <v/>
      </c>
      <c r="Q134">
        <f>YEAR(G134)</f>
        <v/>
      </c>
    </row>
    <row r="135">
      <c r="A135" s="3" t="n">
        <v>138</v>
      </c>
      <c r="B135" s="3" t="inlineStr">
        <is>
          <t>Bengaluru Plant</t>
        </is>
      </c>
      <c r="C135" s="3" t="inlineStr">
        <is>
          <t>Assembly</t>
        </is>
      </c>
      <c r="D135" s="3" t="inlineStr">
        <is>
          <t>Xiaomi</t>
        </is>
      </c>
      <c r="E135" s="3" t="inlineStr">
        <is>
          <t>Smartphone</t>
        </is>
      </c>
      <c r="F135" s="3" t="inlineStr">
        <is>
          <t>Redmi 14C</t>
        </is>
      </c>
      <c r="G135" s="3" t="inlineStr">
        <is>
          <t>2025-02-06</t>
        </is>
      </c>
      <c r="H135" s="3" t="n">
        <v>3951</v>
      </c>
      <c r="I135" s="3" t="n">
        <v>3538</v>
      </c>
      <c r="J135" s="3" t="n">
        <v>50411</v>
      </c>
      <c r="K135" s="3" t="inlineStr">
        <is>
          <t>Pending</t>
        </is>
      </c>
      <c r="L135" s="3" t="inlineStr">
        <is>
          <t>In Progress</t>
        </is>
      </c>
      <c r="M135">
        <f>I135*J135</f>
        <v/>
      </c>
      <c r="N135" s="32">
        <f>ROUND(M135/100000, 0)</f>
        <v/>
      </c>
      <c r="O135">
        <f>H135-I135</f>
        <v/>
      </c>
      <c r="P135">
        <f>TEXT(G135,"mmmm")</f>
        <v/>
      </c>
      <c r="Q135">
        <f>YEAR(G135)</f>
        <v/>
      </c>
    </row>
    <row r="136">
      <c r="A136" s="3" t="n">
        <v>139</v>
      </c>
      <c r="B136" s="3" t="inlineStr">
        <is>
          <t>Pune Plant</t>
        </is>
      </c>
      <c r="C136" s="3" t="inlineStr">
        <is>
          <t>Packaging</t>
        </is>
      </c>
      <c r="D136" s="3" t="inlineStr">
        <is>
          <t>Xiaomi</t>
        </is>
      </c>
      <c r="E136" s="3" t="inlineStr">
        <is>
          <t>Smartphone</t>
        </is>
      </c>
      <c r="F136" s="3" t="inlineStr">
        <is>
          <t>Redmi Note 14</t>
        </is>
      </c>
      <c r="G136" s="3" t="inlineStr">
        <is>
          <t>2025-10-29</t>
        </is>
      </c>
      <c r="H136" s="3" t="n">
        <v>3763</v>
      </c>
      <c r="I136" s="3" t="n">
        <v>2771</v>
      </c>
      <c r="J136" s="3" t="n">
        <v>46142</v>
      </c>
      <c r="K136" s="3" t="inlineStr">
        <is>
          <t>Pending</t>
        </is>
      </c>
      <c r="L136" s="3" t="inlineStr">
        <is>
          <t>In Progress</t>
        </is>
      </c>
      <c r="M136">
        <f>I136*J136</f>
        <v/>
      </c>
      <c r="N136" s="32">
        <f>ROUND(M136/100000, 0)</f>
        <v/>
      </c>
      <c r="O136">
        <f>H136-I136</f>
        <v/>
      </c>
      <c r="P136">
        <f>TEXT(G136,"mmmm")</f>
        <v/>
      </c>
      <c r="Q136">
        <f>YEAR(G136)</f>
        <v/>
      </c>
    </row>
    <row r="137">
      <c r="A137" s="3" t="n">
        <v>140</v>
      </c>
      <c r="B137" s="3" t="inlineStr">
        <is>
          <t>Sriperumbudur Plant</t>
        </is>
      </c>
      <c r="C137" s="3" t="inlineStr">
        <is>
          <t>Assembly</t>
        </is>
      </c>
      <c r="D137" s="3" t="inlineStr">
        <is>
          <t>Xiaomi</t>
        </is>
      </c>
      <c r="E137" s="3" t="inlineStr">
        <is>
          <t>Smartphone</t>
        </is>
      </c>
      <c r="F137" s="3" t="inlineStr">
        <is>
          <t>Redmi Note 14</t>
        </is>
      </c>
      <c r="G137" s="3" t="inlineStr">
        <is>
          <t>2025-06-10</t>
        </is>
      </c>
      <c r="H137" s="3" t="n">
        <v>4864</v>
      </c>
      <c r="I137" s="3" t="n">
        <v>4417</v>
      </c>
      <c r="J137" s="3" t="n">
        <v>76784</v>
      </c>
      <c r="K137" s="3" t="inlineStr">
        <is>
          <t>Pending</t>
        </is>
      </c>
      <c r="L137" s="3" t="inlineStr">
        <is>
          <t>Completed</t>
        </is>
      </c>
      <c r="M137">
        <f>I137*J137</f>
        <v/>
      </c>
      <c r="N137" s="32">
        <f>ROUND(M137/100000, 0)</f>
        <v/>
      </c>
      <c r="O137">
        <f>H137-I137</f>
        <v/>
      </c>
      <c r="P137">
        <f>TEXT(G137,"mmmm")</f>
        <v/>
      </c>
      <c r="Q137">
        <f>YEAR(G137)</f>
        <v/>
      </c>
    </row>
    <row r="138">
      <c r="A138" s="3" t="n">
        <v>141</v>
      </c>
      <c r="B138" s="3" t="inlineStr">
        <is>
          <t>Noida Plant</t>
        </is>
      </c>
      <c r="C138" s="3" t="inlineStr">
        <is>
          <t>Manufacturing</t>
        </is>
      </c>
      <c r="D138" s="3" t="inlineStr">
        <is>
          <t>Xiaomi</t>
        </is>
      </c>
      <c r="E138" s="3" t="inlineStr">
        <is>
          <t>Smartphone</t>
        </is>
      </c>
      <c r="F138" s="3" t="inlineStr">
        <is>
          <t>Xiaomi 14</t>
        </is>
      </c>
      <c r="G138" s="3" t="inlineStr">
        <is>
          <t>2025-04-24</t>
        </is>
      </c>
      <c r="H138" s="3" t="n">
        <v>4670</v>
      </c>
      <c r="I138" s="3" t="n">
        <v>4194</v>
      </c>
      <c r="J138" s="3" t="n">
        <v>99464</v>
      </c>
      <c r="K138" s="3" t="inlineStr">
        <is>
          <t>Shipped</t>
        </is>
      </c>
      <c r="L138" s="3" t="inlineStr">
        <is>
          <t>In Progress</t>
        </is>
      </c>
      <c r="M138">
        <f>I138*J138</f>
        <v/>
      </c>
      <c r="N138" s="32">
        <f>ROUND(M138/100000, 0)</f>
        <v/>
      </c>
      <c r="O138">
        <f>H138-I138</f>
        <v/>
      </c>
      <c r="P138">
        <f>TEXT(G138,"mmmm")</f>
        <v/>
      </c>
      <c r="Q138">
        <f>YEAR(G138)</f>
        <v/>
      </c>
    </row>
    <row r="139">
      <c r="A139" s="3" t="n">
        <v>142</v>
      </c>
      <c r="B139" s="3" t="inlineStr">
        <is>
          <t>Chennai Plant</t>
        </is>
      </c>
      <c r="C139" s="3" t="inlineStr">
        <is>
          <t>Testing</t>
        </is>
      </c>
      <c r="D139" s="3" t="inlineStr">
        <is>
          <t>Xiaomi</t>
        </is>
      </c>
      <c r="E139" s="3" t="inlineStr">
        <is>
          <t>Smartphone</t>
        </is>
      </c>
      <c r="F139" s="3" t="inlineStr">
        <is>
          <t>Xiaomi 14</t>
        </is>
      </c>
      <c r="G139" s="3" t="inlineStr">
        <is>
          <t>2025-11-02</t>
        </is>
      </c>
      <c r="H139" s="3" t="n">
        <v>3664</v>
      </c>
      <c r="I139" s="3" t="n">
        <v>3330</v>
      </c>
      <c r="J139" s="3" t="n">
        <v>50573</v>
      </c>
      <c r="K139" s="3" t="inlineStr">
        <is>
          <t>Shipped</t>
        </is>
      </c>
      <c r="L139" s="3" t="inlineStr">
        <is>
          <t>Completed</t>
        </is>
      </c>
      <c r="M139">
        <f>I139*J139</f>
        <v/>
      </c>
      <c r="N139" s="32">
        <f>ROUND(M139/100000, 0)</f>
        <v/>
      </c>
      <c r="O139">
        <f>H139-I139</f>
        <v/>
      </c>
      <c r="P139">
        <f>TEXT(G139,"mmmm")</f>
        <v/>
      </c>
      <c r="Q139">
        <f>YEAR(G139)</f>
        <v/>
      </c>
    </row>
    <row r="140">
      <c r="A140" s="3" t="n">
        <v>143</v>
      </c>
      <c r="B140" s="3" t="inlineStr">
        <is>
          <t>Bengaluru Plant</t>
        </is>
      </c>
      <c r="C140" s="3" t="inlineStr">
        <is>
          <t>Testing</t>
        </is>
      </c>
      <c r="D140" s="3" t="inlineStr">
        <is>
          <t>Xiaomi</t>
        </is>
      </c>
      <c r="E140" s="3" t="inlineStr">
        <is>
          <t>Smartphone</t>
        </is>
      </c>
      <c r="F140" s="3" t="inlineStr">
        <is>
          <t>Redmi 14C</t>
        </is>
      </c>
      <c r="G140" s="3" t="inlineStr">
        <is>
          <t>2025-11-24</t>
        </is>
      </c>
      <c r="H140" s="3" t="n">
        <v>1609</v>
      </c>
      <c r="I140" s="3" t="n">
        <v>1025</v>
      </c>
      <c r="J140" s="3" t="n">
        <v>50293</v>
      </c>
      <c r="K140" s="3" t="inlineStr">
        <is>
          <t>In Transit</t>
        </is>
      </c>
      <c r="L140" s="3" t="inlineStr">
        <is>
          <t>In Progress</t>
        </is>
      </c>
      <c r="M140">
        <f>I140*J140</f>
        <v/>
      </c>
      <c r="N140" s="32">
        <f>ROUND(M140/100000, 0)</f>
        <v/>
      </c>
      <c r="O140">
        <f>H140-I140</f>
        <v/>
      </c>
      <c r="P140">
        <f>TEXT(G140,"mmmm")</f>
        <v/>
      </c>
      <c r="Q140">
        <f>YEAR(G140)</f>
        <v/>
      </c>
    </row>
    <row r="141">
      <c r="A141" s="3" t="n">
        <v>144</v>
      </c>
      <c r="B141" s="3" t="inlineStr">
        <is>
          <t>Bengaluru Plant</t>
        </is>
      </c>
      <c r="C141" s="3" t="inlineStr">
        <is>
          <t>Testing</t>
        </is>
      </c>
      <c r="D141" s="3" t="inlineStr">
        <is>
          <t>Xiaomi</t>
        </is>
      </c>
      <c r="E141" s="3" t="inlineStr">
        <is>
          <t>Smartphone</t>
        </is>
      </c>
      <c r="F141" s="3" t="inlineStr">
        <is>
          <t>Redmi 14C</t>
        </is>
      </c>
      <c r="G141" s="3" t="inlineStr">
        <is>
          <t>2025-04-23</t>
        </is>
      </c>
      <c r="H141" s="3" t="n">
        <v>2953</v>
      </c>
      <c r="I141" s="3" t="n">
        <v>1788</v>
      </c>
      <c r="J141" s="3" t="n">
        <v>14052</v>
      </c>
      <c r="K141" s="3" t="inlineStr">
        <is>
          <t>In Transit</t>
        </is>
      </c>
      <c r="L141" s="3" t="inlineStr">
        <is>
          <t>Completed</t>
        </is>
      </c>
      <c r="M141">
        <f>I141*J141</f>
        <v/>
      </c>
      <c r="N141" s="32">
        <f>ROUND(M141/100000, 0)</f>
        <v/>
      </c>
      <c r="O141">
        <f>H141-I141</f>
        <v/>
      </c>
      <c r="P141">
        <f>TEXT(G141,"mmmm")</f>
        <v/>
      </c>
      <c r="Q141">
        <f>YEAR(G141)</f>
        <v/>
      </c>
    </row>
    <row r="142">
      <c r="A142" s="3" t="n">
        <v>145</v>
      </c>
      <c r="B142" s="3" t="inlineStr">
        <is>
          <t>Pune Plant</t>
        </is>
      </c>
      <c r="C142" s="3" t="inlineStr">
        <is>
          <t>Assembly</t>
        </is>
      </c>
      <c r="D142" s="3" t="inlineStr">
        <is>
          <t>Xiaomi</t>
        </is>
      </c>
      <c r="E142" s="3" t="inlineStr">
        <is>
          <t>Smartphone</t>
        </is>
      </c>
      <c r="F142" s="3" t="inlineStr">
        <is>
          <t>Xiaomi 14</t>
        </is>
      </c>
      <c r="G142" s="3" t="inlineStr">
        <is>
          <t>2025-11-27</t>
        </is>
      </c>
      <c r="H142" s="3" t="n">
        <v>3477</v>
      </c>
      <c r="I142" s="3" t="n">
        <v>3361</v>
      </c>
      <c r="J142" s="3" t="n">
        <v>20032</v>
      </c>
      <c r="K142" s="3" t="inlineStr">
        <is>
          <t>Pending</t>
        </is>
      </c>
      <c r="L142" s="3" t="inlineStr">
        <is>
          <t>In Progress</t>
        </is>
      </c>
      <c r="M142">
        <f>I142*J142</f>
        <v/>
      </c>
      <c r="N142" s="32">
        <f>ROUND(M142/100000, 0)</f>
        <v/>
      </c>
      <c r="O142">
        <f>H142-I142</f>
        <v/>
      </c>
      <c r="P142">
        <f>TEXT(G142,"mmmm")</f>
        <v/>
      </c>
      <c r="Q142">
        <f>YEAR(G142)</f>
        <v/>
      </c>
    </row>
    <row r="143">
      <c r="A143" s="3" t="n">
        <v>146</v>
      </c>
      <c r="B143" s="3" t="inlineStr">
        <is>
          <t>Chennai Plant</t>
        </is>
      </c>
      <c r="C143" s="3" t="inlineStr">
        <is>
          <t>Packaging</t>
        </is>
      </c>
      <c r="D143" s="3" t="inlineStr">
        <is>
          <t>Xiaomi</t>
        </is>
      </c>
      <c r="E143" s="3" t="inlineStr">
        <is>
          <t>Smartphone</t>
        </is>
      </c>
      <c r="F143" s="3" t="inlineStr">
        <is>
          <t>Xiaomi 14</t>
        </is>
      </c>
      <c r="G143" s="3" t="inlineStr">
        <is>
          <t>2025-11-18</t>
        </is>
      </c>
      <c r="H143" s="3" t="n">
        <v>2919</v>
      </c>
      <c r="I143" s="3" t="n">
        <v>2063</v>
      </c>
      <c r="J143" s="3" t="n">
        <v>80956</v>
      </c>
      <c r="K143" s="3" t="inlineStr">
        <is>
          <t>Shipped</t>
        </is>
      </c>
      <c r="L143" s="3" t="inlineStr">
        <is>
          <t>Completed</t>
        </is>
      </c>
      <c r="M143">
        <f>I143*J143</f>
        <v/>
      </c>
      <c r="N143" s="32">
        <f>ROUND(M143/100000, 0)</f>
        <v/>
      </c>
      <c r="O143">
        <f>H143-I143</f>
        <v/>
      </c>
      <c r="P143">
        <f>TEXT(G143,"mmmm")</f>
        <v/>
      </c>
      <c r="Q143">
        <f>YEAR(G143)</f>
        <v/>
      </c>
    </row>
    <row r="144">
      <c r="A144" s="3" t="n">
        <v>147</v>
      </c>
      <c r="B144" s="3" t="inlineStr">
        <is>
          <t>Bengaluru Plant</t>
        </is>
      </c>
      <c r="C144" s="3" t="inlineStr">
        <is>
          <t>Assembly</t>
        </is>
      </c>
      <c r="D144" s="3" t="inlineStr">
        <is>
          <t>Xiaomi</t>
        </is>
      </c>
      <c r="E144" s="3" t="inlineStr">
        <is>
          <t>Smartphone</t>
        </is>
      </c>
      <c r="F144" s="3" t="inlineStr">
        <is>
          <t>Xiaomi 14</t>
        </is>
      </c>
      <c r="G144" s="3" t="inlineStr">
        <is>
          <t>2025-11-12</t>
        </is>
      </c>
      <c r="H144" s="3" t="n">
        <v>1982</v>
      </c>
      <c r="I144" s="3" t="n">
        <v>1425</v>
      </c>
      <c r="J144" s="3" t="n">
        <v>72858</v>
      </c>
      <c r="K144" s="3" t="inlineStr">
        <is>
          <t>In Transit</t>
        </is>
      </c>
      <c r="L144" s="3" t="inlineStr">
        <is>
          <t>In Progress</t>
        </is>
      </c>
      <c r="M144">
        <f>I144*J144</f>
        <v/>
      </c>
      <c r="N144" s="32">
        <f>ROUND(M144/100000, 0)</f>
        <v/>
      </c>
      <c r="O144">
        <f>H144-I144</f>
        <v/>
      </c>
      <c r="P144">
        <f>TEXT(G144,"mmmm")</f>
        <v/>
      </c>
      <c r="Q144">
        <f>YEAR(G144)</f>
        <v/>
      </c>
    </row>
    <row r="145">
      <c r="A145" s="3" t="n">
        <v>148</v>
      </c>
      <c r="B145" s="3" t="inlineStr">
        <is>
          <t>Pune Plant</t>
        </is>
      </c>
      <c r="C145" s="3" t="inlineStr">
        <is>
          <t>Packaging</t>
        </is>
      </c>
      <c r="D145" s="3" t="inlineStr">
        <is>
          <t>Xiaomi</t>
        </is>
      </c>
      <c r="E145" s="3" t="inlineStr">
        <is>
          <t>Smartphone</t>
        </is>
      </c>
      <c r="F145" s="3" t="inlineStr">
        <is>
          <t>Xiaomi 14</t>
        </is>
      </c>
      <c r="G145" s="3" t="inlineStr">
        <is>
          <t>2025-03-24</t>
        </is>
      </c>
      <c r="H145" s="3" t="n">
        <v>1815</v>
      </c>
      <c r="I145" s="3" t="n">
        <v>1488</v>
      </c>
      <c r="J145" s="3" t="n">
        <v>18249</v>
      </c>
      <c r="K145" s="3" t="inlineStr">
        <is>
          <t>Pending</t>
        </is>
      </c>
      <c r="L145" s="3" t="inlineStr">
        <is>
          <t>Completed</t>
        </is>
      </c>
      <c r="M145">
        <f>I145*J145</f>
        <v/>
      </c>
      <c r="N145" s="32">
        <f>ROUND(M145/100000, 0)</f>
        <v/>
      </c>
      <c r="O145">
        <f>H145-I145</f>
        <v/>
      </c>
      <c r="P145">
        <f>TEXT(G145,"mmmm")</f>
        <v/>
      </c>
      <c r="Q145">
        <f>YEAR(G145)</f>
        <v/>
      </c>
    </row>
    <row r="146">
      <c r="A146" s="3" t="n">
        <v>149</v>
      </c>
      <c r="B146" s="3" t="inlineStr">
        <is>
          <t>Sriperumbudur Plant</t>
        </is>
      </c>
      <c r="C146" s="3" t="inlineStr">
        <is>
          <t>Testing</t>
        </is>
      </c>
      <c r="D146" s="3" t="inlineStr">
        <is>
          <t>Xiaomi</t>
        </is>
      </c>
      <c r="E146" s="3" t="inlineStr">
        <is>
          <t>Smartphone</t>
        </is>
      </c>
      <c r="F146" s="3" t="inlineStr">
        <is>
          <t>Redmi Note 14</t>
        </is>
      </c>
      <c r="G146" s="3" t="inlineStr">
        <is>
          <t>2025-05-17</t>
        </is>
      </c>
      <c r="H146" s="3" t="n">
        <v>577</v>
      </c>
      <c r="I146" s="3" t="n">
        <v>538</v>
      </c>
      <c r="J146" s="3" t="n">
        <v>111140</v>
      </c>
      <c r="K146" s="3" t="inlineStr">
        <is>
          <t>Shipped</t>
        </is>
      </c>
      <c r="L146" s="3" t="inlineStr">
        <is>
          <t>In Progress</t>
        </is>
      </c>
      <c r="M146">
        <f>I146*J146</f>
        <v/>
      </c>
      <c r="N146" s="32">
        <f>ROUND(M146/100000, 0)</f>
        <v/>
      </c>
      <c r="O146">
        <f>H146-I146</f>
        <v/>
      </c>
      <c r="P146">
        <f>TEXT(G146,"mmmm")</f>
        <v/>
      </c>
      <c r="Q146">
        <f>YEAR(G146)</f>
        <v/>
      </c>
    </row>
    <row r="147">
      <c r="A147" s="3" t="n">
        <v>150</v>
      </c>
      <c r="B147" s="3" t="inlineStr">
        <is>
          <t>Chennai Plant</t>
        </is>
      </c>
      <c r="C147" s="3" t="inlineStr">
        <is>
          <t>Manufacturing</t>
        </is>
      </c>
      <c r="D147" s="3" t="inlineStr">
        <is>
          <t>Xiaomi</t>
        </is>
      </c>
      <c r="E147" s="3" t="inlineStr">
        <is>
          <t>Smartphone</t>
        </is>
      </c>
      <c r="F147" s="3" t="inlineStr">
        <is>
          <t>Redmi Note 14</t>
        </is>
      </c>
      <c r="G147" s="3" t="inlineStr">
        <is>
          <t>2025-01-08</t>
        </is>
      </c>
      <c r="H147" s="3" t="n">
        <v>1507</v>
      </c>
      <c r="I147" s="3" t="n">
        <v>1385</v>
      </c>
      <c r="J147" s="3" t="n">
        <v>106313</v>
      </c>
      <c r="K147" s="3" t="inlineStr">
        <is>
          <t>Shipped</t>
        </is>
      </c>
      <c r="L147" s="3" t="inlineStr">
        <is>
          <t>In Progress</t>
        </is>
      </c>
      <c r="M147">
        <f>I147*J147</f>
        <v/>
      </c>
      <c r="N147" s="32">
        <f>ROUND(M147/100000, 0)</f>
        <v/>
      </c>
      <c r="O147">
        <f>H147-I147</f>
        <v/>
      </c>
      <c r="P147">
        <f>TEXT(G147,"mmmm")</f>
        <v/>
      </c>
      <c r="Q147">
        <f>YEAR(G147)</f>
        <v/>
      </c>
    </row>
    <row r="148">
      <c r="A148" s="3" t="n">
        <v>151</v>
      </c>
      <c r="B148" s="3" t="inlineStr">
        <is>
          <t>Sriperumbudur Plant</t>
        </is>
      </c>
      <c r="C148" s="3" t="inlineStr">
        <is>
          <t>Assembly</t>
        </is>
      </c>
      <c r="D148" s="3" t="inlineStr">
        <is>
          <t>Xiaomi</t>
        </is>
      </c>
      <c r="E148" s="3" t="inlineStr">
        <is>
          <t>Smartphone</t>
        </is>
      </c>
      <c r="F148" s="3" t="inlineStr">
        <is>
          <t>Redmi Note 14</t>
        </is>
      </c>
      <c r="G148" s="3" t="inlineStr">
        <is>
          <t>2025-05-30</t>
        </is>
      </c>
      <c r="H148" s="3" t="n">
        <v>1126</v>
      </c>
      <c r="I148" s="3" t="n">
        <v>921</v>
      </c>
      <c r="J148" s="3" t="n">
        <v>90636</v>
      </c>
      <c r="K148" s="3" t="inlineStr">
        <is>
          <t>In Transit</t>
        </is>
      </c>
      <c r="L148" s="3" t="inlineStr">
        <is>
          <t>Completed</t>
        </is>
      </c>
      <c r="M148">
        <f>I148*J148</f>
        <v/>
      </c>
      <c r="N148" s="32">
        <f>ROUND(M148/100000, 0)</f>
        <v/>
      </c>
      <c r="O148">
        <f>H148-I148</f>
        <v/>
      </c>
      <c r="P148">
        <f>TEXT(G148,"mmmm")</f>
        <v/>
      </c>
      <c r="Q148">
        <f>YEAR(G148)</f>
        <v/>
      </c>
    </row>
    <row r="149">
      <c r="A149" s="3" t="n">
        <v>152</v>
      </c>
      <c r="B149" s="3" t="inlineStr">
        <is>
          <t>Chennai Plant</t>
        </is>
      </c>
      <c r="C149" s="3" t="inlineStr">
        <is>
          <t>Assembly</t>
        </is>
      </c>
      <c r="D149" s="3" t="inlineStr">
        <is>
          <t>Xiaomi</t>
        </is>
      </c>
      <c r="E149" s="3" t="inlineStr">
        <is>
          <t>Smartphone</t>
        </is>
      </c>
      <c r="F149" s="3" t="inlineStr">
        <is>
          <t>Redmi Note 14</t>
        </is>
      </c>
      <c r="G149" s="3" t="inlineStr">
        <is>
          <t>2025-05-23</t>
        </is>
      </c>
      <c r="H149" s="3" t="n">
        <v>2467</v>
      </c>
      <c r="I149" s="3" t="n">
        <v>1841</v>
      </c>
      <c r="J149" s="3" t="n">
        <v>83528</v>
      </c>
      <c r="K149" s="3" t="inlineStr">
        <is>
          <t>In Transit</t>
        </is>
      </c>
      <c r="L149" s="3" t="inlineStr">
        <is>
          <t>In Progress</t>
        </is>
      </c>
      <c r="M149">
        <f>I149*J149</f>
        <v/>
      </c>
      <c r="N149" s="32">
        <f>ROUND(M149/100000, 0)</f>
        <v/>
      </c>
      <c r="O149">
        <f>H149-I149</f>
        <v/>
      </c>
      <c r="P149">
        <f>TEXT(G149,"mmmm")</f>
        <v/>
      </c>
      <c r="Q149">
        <f>YEAR(G149)</f>
        <v/>
      </c>
    </row>
    <row r="150">
      <c r="A150" s="3" t="n">
        <v>153</v>
      </c>
      <c r="B150" s="3" t="inlineStr">
        <is>
          <t>Pune Plant</t>
        </is>
      </c>
      <c r="C150" s="3" t="inlineStr">
        <is>
          <t>Manufacturing</t>
        </is>
      </c>
      <c r="D150" s="3" t="inlineStr">
        <is>
          <t>Xiaomi</t>
        </is>
      </c>
      <c r="E150" s="3" t="inlineStr">
        <is>
          <t>Smartphone</t>
        </is>
      </c>
      <c r="F150" s="3" t="inlineStr">
        <is>
          <t>Redmi Note 14</t>
        </is>
      </c>
      <c r="G150" s="3" t="inlineStr">
        <is>
          <t>2025-06-23</t>
        </is>
      </c>
      <c r="H150" s="3" t="n">
        <v>2105</v>
      </c>
      <c r="I150" s="3" t="n">
        <v>1795</v>
      </c>
      <c r="J150" s="3" t="n">
        <v>18928</v>
      </c>
      <c r="K150" s="3" t="inlineStr">
        <is>
          <t>Shipped</t>
        </is>
      </c>
      <c r="L150" s="3" t="inlineStr">
        <is>
          <t>Completed</t>
        </is>
      </c>
      <c r="M150">
        <f>I150*J150</f>
        <v/>
      </c>
      <c r="N150" s="32">
        <f>ROUND(M150/100000, 0)</f>
        <v/>
      </c>
      <c r="O150">
        <f>H150-I150</f>
        <v/>
      </c>
      <c r="P150">
        <f>TEXT(G150,"mmmm")</f>
        <v/>
      </c>
      <c r="Q150">
        <f>YEAR(G150)</f>
        <v/>
      </c>
    </row>
    <row r="151">
      <c r="A151" s="3" t="n">
        <v>154</v>
      </c>
      <c r="B151" s="3" t="inlineStr">
        <is>
          <t>Bengaluru Plant</t>
        </is>
      </c>
      <c r="C151" s="3" t="inlineStr">
        <is>
          <t>Assembly</t>
        </is>
      </c>
      <c r="D151" s="3" t="inlineStr">
        <is>
          <t>Xiaomi</t>
        </is>
      </c>
      <c r="E151" s="3" t="inlineStr">
        <is>
          <t>Smartphone</t>
        </is>
      </c>
      <c r="F151" s="3" t="inlineStr">
        <is>
          <t>Xiaomi 14</t>
        </is>
      </c>
      <c r="G151" s="3" t="inlineStr">
        <is>
          <t>2025-07-20</t>
        </is>
      </c>
      <c r="H151" s="3" t="n">
        <v>4435</v>
      </c>
      <c r="I151" s="3" t="n">
        <v>3706</v>
      </c>
      <c r="J151" s="3" t="n">
        <v>91068</v>
      </c>
      <c r="K151" s="3" t="inlineStr">
        <is>
          <t>Shipped</t>
        </is>
      </c>
      <c r="L151" s="3" t="inlineStr">
        <is>
          <t>In Progress</t>
        </is>
      </c>
      <c r="M151">
        <f>I151*J151</f>
        <v/>
      </c>
      <c r="N151" s="32">
        <f>ROUND(M151/100000, 0)</f>
        <v/>
      </c>
      <c r="O151">
        <f>H151-I151</f>
        <v/>
      </c>
      <c r="P151">
        <f>TEXT(G151,"mmmm")</f>
        <v/>
      </c>
      <c r="Q151">
        <f>YEAR(G151)</f>
        <v/>
      </c>
    </row>
    <row r="152">
      <c r="A152" s="3" t="n">
        <v>155</v>
      </c>
      <c r="B152" s="3" t="inlineStr">
        <is>
          <t>Bengaluru Plant</t>
        </is>
      </c>
      <c r="C152" s="3" t="inlineStr">
        <is>
          <t>Packaging</t>
        </is>
      </c>
      <c r="D152" s="3" t="inlineStr">
        <is>
          <t>Xiaomi</t>
        </is>
      </c>
      <c r="E152" s="3" t="inlineStr">
        <is>
          <t>Smartphone</t>
        </is>
      </c>
      <c r="F152" s="3" t="inlineStr">
        <is>
          <t>Redmi Note 14</t>
        </is>
      </c>
      <c r="G152" s="3" t="inlineStr">
        <is>
          <t>2025-07-15</t>
        </is>
      </c>
      <c r="H152" s="3" t="n">
        <v>3987</v>
      </c>
      <c r="I152" s="3" t="n">
        <v>2681</v>
      </c>
      <c r="J152" s="3" t="n">
        <v>42246</v>
      </c>
      <c r="K152" s="3" t="inlineStr">
        <is>
          <t>In Transit</t>
        </is>
      </c>
      <c r="L152" s="3" t="inlineStr">
        <is>
          <t>In Progress</t>
        </is>
      </c>
      <c r="M152">
        <f>I152*J152</f>
        <v/>
      </c>
      <c r="N152" s="32">
        <f>ROUND(M152/100000, 0)</f>
        <v/>
      </c>
      <c r="O152">
        <f>H152-I152</f>
        <v/>
      </c>
      <c r="P152">
        <f>TEXT(G152,"mmmm")</f>
        <v/>
      </c>
      <c r="Q152">
        <f>YEAR(G152)</f>
        <v/>
      </c>
    </row>
    <row r="153">
      <c r="A153" s="3" t="n">
        <v>156</v>
      </c>
      <c r="B153" s="3" t="inlineStr">
        <is>
          <t>Bengaluru Plant</t>
        </is>
      </c>
      <c r="C153" s="3" t="inlineStr">
        <is>
          <t>Testing</t>
        </is>
      </c>
      <c r="D153" s="3" t="inlineStr">
        <is>
          <t>Xiaomi</t>
        </is>
      </c>
      <c r="E153" s="3" t="inlineStr">
        <is>
          <t>Smartphone</t>
        </is>
      </c>
      <c r="F153" s="3" t="inlineStr">
        <is>
          <t>Redmi Note 14</t>
        </is>
      </c>
      <c r="G153" s="3" t="inlineStr">
        <is>
          <t>2025-03-01</t>
        </is>
      </c>
      <c r="H153" s="3" t="n">
        <v>2469</v>
      </c>
      <c r="I153" s="3" t="n">
        <v>1586</v>
      </c>
      <c r="J153" s="3" t="n">
        <v>62701</v>
      </c>
      <c r="K153" s="3" t="inlineStr">
        <is>
          <t>In Transit</t>
        </is>
      </c>
      <c r="L153" s="3" t="inlineStr">
        <is>
          <t>Completed</t>
        </is>
      </c>
      <c r="M153">
        <f>I153*J153</f>
        <v/>
      </c>
      <c r="N153" s="32">
        <f>ROUND(M153/100000, 0)</f>
        <v/>
      </c>
      <c r="O153">
        <f>H153-I153</f>
        <v/>
      </c>
      <c r="P153">
        <f>TEXT(G153,"mmmm")</f>
        <v/>
      </c>
      <c r="Q153">
        <f>YEAR(G153)</f>
        <v/>
      </c>
    </row>
    <row r="154">
      <c r="A154" s="3" t="n">
        <v>158</v>
      </c>
      <c r="B154" s="3" t="inlineStr">
        <is>
          <t>Chennai Plant</t>
        </is>
      </c>
      <c r="C154" s="3" t="inlineStr">
        <is>
          <t>Packaging</t>
        </is>
      </c>
      <c r="D154" s="3" t="inlineStr">
        <is>
          <t>Xiaomi</t>
        </is>
      </c>
      <c r="E154" s="3" t="inlineStr">
        <is>
          <t>Smartphone</t>
        </is>
      </c>
      <c r="F154" s="3" t="inlineStr">
        <is>
          <t>Redmi 14C</t>
        </is>
      </c>
      <c r="G154" s="3" t="inlineStr">
        <is>
          <t>2025-01-23</t>
        </is>
      </c>
      <c r="H154" s="3" t="n">
        <v>4800</v>
      </c>
      <c r="I154" s="3" t="n">
        <v>4688</v>
      </c>
      <c r="J154" s="3" t="n">
        <v>33189</v>
      </c>
      <c r="K154" s="3" t="inlineStr">
        <is>
          <t>Shipped</t>
        </is>
      </c>
      <c r="L154" s="3" t="inlineStr">
        <is>
          <t>Completed</t>
        </is>
      </c>
      <c r="M154">
        <f>I154*J154</f>
        <v/>
      </c>
      <c r="N154" s="32">
        <f>ROUND(M154/100000, 0)</f>
        <v/>
      </c>
      <c r="O154">
        <f>H154-I154</f>
        <v/>
      </c>
      <c r="P154">
        <f>TEXT(G154,"mmmm")</f>
        <v/>
      </c>
      <c r="Q154">
        <f>YEAR(G154)</f>
        <v/>
      </c>
    </row>
    <row r="155">
      <c r="A155" s="3" t="n">
        <v>159</v>
      </c>
      <c r="B155" s="3" t="inlineStr">
        <is>
          <t>Pune Plant</t>
        </is>
      </c>
      <c r="C155" s="3" t="inlineStr">
        <is>
          <t>Packaging</t>
        </is>
      </c>
      <c r="D155" s="3" t="inlineStr">
        <is>
          <t>Xiaomi</t>
        </is>
      </c>
      <c r="E155" s="3" t="inlineStr">
        <is>
          <t>Smartphone</t>
        </is>
      </c>
      <c r="F155" s="3" t="inlineStr">
        <is>
          <t>Redmi Note 14</t>
        </is>
      </c>
      <c r="G155" s="3" t="inlineStr">
        <is>
          <t>2025-05-11</t>
        </is>
      </c>
      <c r="H155" s="3" t="n">
        <v>2448</v>
      </c>
      <c r="I155" s="3" t="n">
        <v>2096</v>
      </c>
      <c r="J155" s="3" t="n">
        <v>82236</v>
      </c>
      <c r="K155" s="3" t="inlineStr">
        <is>
          <t>Shipped</t>
        </is>
      </c>
      <c r="L155" s="3" t="inlineStr">
        <is>
          <t>In Progress</t>
        </is>
      </c>
      <c r="M155">
        <f>I155*J155</f>
        <v/>
      </c>
      <c r="N155" s="32">
        <f>ROUND(M155/100000, 0)</f>
        <v/>
      </c>
      <c r="O155">
        <f>H155-I155</f>
        <v/>
      </c>
      <c r="P155">
        <f>TEXT(G155,"mmmm")</f>
        <v/>
      </c>
      <c r="Q155">
        <f>YEAR(G155)</f>
        <v/>
      </c>
    </row>
    <row r="156">
      <c r="A156" s="3" t="n">
        <v>160</v>
      </c>
      <c r="B156" s="3" t="inlineStr">
        <is>
          <t>Sriperumbudur Plant</t>
        </is>
      </c>
      <c r="C156" s="3" t="inlineStr">
        <is>
          <t>Packaging</t>
        </is>
      </c>
      <c r="D156" s="3" t="inlineStr">
        <is>
          <t>Xiaomi</t>
        </is>
      </c>
      <c r="E156" s="3" t="inlineStr">
        <is>
          <t>Smartphone</t>
        </is>
      </c>
      <c r="F156" s="3" t="inlineStr">
        <is>
          <t>Redmi Note 14</t>
        </is>
      </c>
      <c r="G156" s="3" t="inlineStr">
        <is>
          <t>2025-10-23</t>
        </is>
      </c>
      <c r="H156" s="3" t="n">
        <v>1880</v>
      </c>
      <c r="I156" s="3" t="n">
        <v>1443</v>
      </c>
      <c r="J156" s="3" t="n">
        <v>34477</v>
      </c>
      <c r="K156" s="3" t="inlineStr">
        <is>
          <t>Shipped</t>
        </is>
      </c>
      <c r="L156" s="3" t="inlineStr">
        <is>
          <t>Completed</t>
        </is>
      </c>
      <c r="M156">
        <f>I156*J156</f>
        <v/>
      </c>
      <c r="N156" s="32">
        <f>ROUND(M156/100000, 0)</f>
        <v/>
      </c>
      <c r="O156">
        <f>H156-I156</f>
        <v/>
      </c>
      <c r="P156">
        <f>TEXT(G156,"mmmm")</f>
        <v/>
      </c>
      <c r="Q156">
        <f>YEAR(G156)</f>
        <v/>
      </c>
    </row>
    <row r="157">
      <c r="A157" s="3" t="n">
        <v>161</v>
      </c>
      <c r="B157" s="3" t="inlineStr">
        <is>
          <t>Bengaluru Plant</t>
        </is>
      </c>
      <c r="C157" s="3" t="inlineStr">
        <is>
          <t>Packaging</t>
        </is>
      </c>
      <c r="D157" s="3" t="inlineStr">
        <is>
          <t>Xiaomi</t>
        </is>
      </c>
      <c r="E157" s="3" t="inlineStr">
        <is>
          <t>Smartphone</t>
        </is>
      </c>
      <c r="F157" s="3" t="inlineStr">
        <is>
          <t>Redmi 14C</t>
        </is>
      </c>
      <c r="G157" s="3" t="inlineStr">
        <is>
          <t>2025-06-05</t>
        </is>
      </c>
      <c r="H157" s="3" t="n">
        <v>4441</v>
      </c>
      <c r="I157" s="3" t="n">
        <v>3779</v>
      </c>
      <c r="J157" s="3" t="n">
        <v>84177</v>
      </c>
      <c r="K157" s="3" t="inlineStr">
        <is>
          <t>In Transit</t>
        </is>
      </c>
      <c r="L157" s="3" t="inlineStr">
        <is>
          <t>Completed</t>
        </is>
      </c>
      <c r="M157">
        <f>I157*J157</f>
        <v/>
      </c>
      <c r="N157" s="32">
        <f>ROUND(M157/100000, 0)</f>
        <v/>
      </c>
      <c r="O157">
        <f>H157-I157</f>
        <v/>
      </c>
      <c r="P157">
        <f>TEXT(G157,"mmmm")</f>
        <v/>
      </c>
      <c r="Q157">
        <f>YEAR(G157)</f>
        <v/>
      </c>
    </row>
    <row r="158">
      <c r="A158" s="3" t="n">
        <v>162</v>
      </c>
      <c r="B158" s="3" t="inlineStr">
        <is>
          <t>Sriperumbudur Plant</t>
        </is>
      </c>
      <c r="C158" s="3" t="inlineStr">
        <is>
          <t>Manufacturing</t>
        </is>
      </c>
      <c r="D158" s="3" t="inlineStr">
        <is>
          <t>Xiaomi</t>
        </is>
      </c>
      <c r="E158" s="3" t="inlineStr">
        <is>
          <t>Smartphone</t>
        </is>
      </c>
      <c r="F158" s="3" t="inlineStr">
        <is>
          <t>Redmi 14C</t>
        </is>
      </c>
      <c r="G158" s="3" t="inlineStr">
        <is>
          <t>2025-07-05</t>
        </is>
      </c>
      <c r="H158" s="3" t="n">
        <v>558</v>
      </c>
      <c r="I158" s="3" t="n">
        <v>445</v>
      </c>
      <c r="J158" s="3" t="n">
        <v>21860</v>
      </c>
      <c r="K158" s="3" t="inlineStr">
        <is>
          <t>In Transit</t>
        </is>
      </c>
      <c r="L158" s="3" t="inlineStr">
        <is>
          <t>In Progress</t>
        </is>
      </c>
      <c r="M158">
        <f>I158*J158</f>
        <v/>
      </c>
      <c r="N158" s="32">
        <f>ROUND(M158/100000, 0)</f>
        <v/>
      </c>
      <c r="O158">
        <f>H158-I158</f>
        <v/>
      </c>
      <c r="P158">
        <f>TEXT(G158,"mmmm")</f>
        <v/>
      </c>
      <c r="Q158">
        <f>YEAR(G158)</f>
        <v/>
      </c>
    </row>
    <row r="159">
      <c r="A159" s="3" t="n">
        <v>163</v>
      </c>
      <c r="B159" s="3" t="inlineStr">
        <is>
          <t>Sriperumbudur Plant</t>
        </is>
      </c>
      <c r="C159" s="3" t="inlineStr">
        <is>
          <t>Testing</t>
        </is>
      </c>
      <c r="D159" s="3" t="inlineStr">
        <is>
          <t>Xiaomi</t>
        </is>
      </c>
      <c r="E159" s="3" t="inlineStr">
        <is>
          <t>Smartphone</t>
        </is>
      </c>
      <c r="F159" s="3" t="inlineStr">
        <is>
          <t>Xiaomi 14</t>
        </is>
      </c>
      <c r="G159" s="3" t="inlineStr">
        <is>
          <t>2025-04-04</t>
        </is>
      </c>
      <c r="H159" s="3" t="n">
        <v>4557</v>
      </c>
      <c r="I159" s="3" t="n">
        <v>3427</v>
      </c>
      <c r="J159" s="3" t="n">
        <v>91070</v>
      </c>
      <c r="K159" s="3" t="inlineStr">
        <is>
          <t>Pending</t>
        </is>
      </c>
      <c r="L159" s="3" t="inlineStr">
        <is>
          <t>Completed</t>
        </is>
      </c>
      <c r="M159">
        <f>I159*J159</f>
        <v/>
      </c>
      <c r="N159" s="32">
        <f>ROUND(M159/100000, 0)</f>
        <v/>
      </c>
      <c r="O159">
        <f>H159-I159</f>
        <v/>
      </c>
      <c r="P159">
        <f>TEXT(G159,"mmmm")</f>
        <v/>
      </c>
      <c r="Q159">
        <f>YEAR(G159)</f>
        <v/>
      </c>
    </row>
    <row r="160">
      <c r="A160" s="3" t="n">
        <v>164</v>
      </c>
      <c r="B160" s="3" t="inlineStr">
        <is>
          <t>Pune Plant</t>
        </is>
      </c>
      <c r="C160" s="3" t="inlineStr">
        <is>
          <t>Packaging</t>
        </is>
      </c>
      <c r="D160" s="3" t="inlineStr">
        <is>
          <t>Xiaomi</t>
        </is>
      </c>
      <c r="E160" s="3" t="inlineStr">
        <is>
          <t>Smartphone</t>
        </is>
      </c>
      <c r="F160" s="3" t="inlineStr">
        <is>
          <t>Xiaomi 14</t>
        </is>
      </c>
      <c r="G160" s="3" t="inlineStr">
        <is>
          <t>2025-08-01</t>
        </is>
      </c>
      <c r="H160" s="3" t="n">
        <v>1804</v>
      </c>
      <c r="I160" s="3" t="n">
        <v>1115</v>
      </c>
      <c r="J160" s="3" t="n">
        <v>65877</v>
      </c>
      <c r="K160" s="3" t="inlineStr">
        <is>
          <t>Pending</t>
        </is>
      </c>
      <c r="L160" s="3" t="inlineStr">
        <is>
          <t>Completed</t>
        </is>
      </c>
      <c r="M160">
        <f>I160*J160</f>
        <v/>
      </c>
      <c r="N160" s="32">
        <f>ROUND(M160/100000, 0)</f>
        <v/>
      </c>
      <c r="O160">
        <f>H160-I160</f>
        <v/>
      </c>
      <c r="P160">
        <f>TEXT(G160,"mmmm")</f>
        <v/>
      </c>
      <c r="Q160">
        <f>YEAR(G160)</f>
        <v/>
      </c>
    </row>
    <row r="161">
      <c r="A161" s="3" t="n">
        <v>165</v>
      </c>
      <c r="B161" s="3" t="inlineStr">
        <is>
          <t>Sriperumbudur Plant</t>
        </is>
      </c>
      <c r="C161" s="3" t="inlineStr">
        <is>
          <t>Assembly</t>
        </is>
      </c>
      <c r="D161" s="3" t="inlineStr">
        <is>
          <t>Xiaomi</t>
        </is>
      </c>
      <c r="E161" s="3" t="inlineStr">
        <is>
          <t>Smartphone</t>
        </is>
      </c>
      <c r="F161" s="3" t="inlineStr">
        <is>
          <t>Redmi Note 14</t>
        </is>
      </c>
      <c r="G161" s="3" t="inlineStr">
        <is>
          <t>2025-06-29</t>
        </is>
      </c>
      <c r="H161" s="3" t="n">
        <v>1286</v>
      </c>
      <c r="I161" s="3" t="n">
        <v>945</v>
      </c>
      <c r="J161" s="3" t="n">
        <v>26847</v>
      </c>
      <c r="K161" s="3" t="inlineStr">
        <is>
          <t>In Transit</t>
        </is>
      </c>
      <c r="L161" s="3" t="inlineStr">
        <is>
          <t>In Progress</t>
        </is>
      </c>
      <c r="M161">
        <f>I161*J161</f>
        <v/>
      </c>
      <c r="N161" s="32">
        <f>ROUND(M161/100000, 0)</f>
        <v/>
      </c>
      <c r="O161">
        <f>H161-I161</f>
        <v/>
      </c>
      <c r="P161">
        <f>TEXT(G161,"mmmm")</f>
        <v/>
      </c>
      <c r="Q161">
        <f>YEAR(G161)</f>
        <v/>
      </c>
    </row>
    <row r="162">
      <c r="A162" s="3" t="n">
        <v>166</v>
      </c>
      <c r="B162" s="3" t="inlineStr">
        <is>
          <t>Pune Plant</t>
        </is>
      </c>
      <c r="C162" s="3" t="inlineStr">
        <is>
          <t>Manufacturing</t>
        </is>
      </c>
      <c r="D162" s="3" t="inlineStr">
        <is>
          <t>Xiaomi</t>
        </is>
      </c>
      <c r="E162" s="3" t="inlineStr">
        <is>
          <t>Smartphone</t>
        </is>
      </c>
      <c r="F162" s="3" t="inlineStr">
        <is>
          <t>Xiaomi 14</t>
        </is>
      </c>
      <c r="G162" s="3" t="inlineStr">
        <is>
          <t>2025-02-28</t>
        </is>
      </c>
      <c r="H162" s="3" t="n">
        <v>929</v>
      </c>
      <c r="I162" s="3" t="n">
        <v>562</v>
      </c>
      <c r="J162" s="3" t="n">
        <v>118246</v>
      </c>
      <c r="K162" s="3" t="inlineStr">
        <is>
          <t>Pending</t>
        </is>
      </c>
      <c r="L162" s="3" t="inlineStr">
        <is>
          <t>Completed</t>
        </is>
      </c>
      <c r="M162">
        <f>I162*J162</f>
        <v/>
      </c>
      <c r="N162" s="32">
        <f>ROUND(M162/100000, 0)</f>
        <v/>
      </c>
      <c r="O162">
        <f>H162-I162</f>
        <v/>
      </c>
      <c r="P162">
        <f>TEXT(G162,"mmmm")</f>
        <v/>
      </c>
      <c r="Q162">
        <f>YEAR(G162)</f>
        <v/>
      </c>
    </row>
    <row r="163">
      <c r="A163" s="3" t="n">
        <v>167</v>
      </c>
      <c r="B163" s="3" t="inlineStr">
        <is>
          <t>Bengaluru Plant</t>
        </is>
      </c>
      <c r="C163" s="3" t="inlineStr">
        <is>
          <t>Packaging</t>
        </is>
      </c>
      <c r="D163" s="3" t="inlineStr">
        <is>
          <t>Xiaomi</t>
        </is>
      </c>
      <c r="E163" s="3" t="inlineStr">
        <is>
          <t>Smartphone</t>
        </is>
      </c>
      <c r="F163" s="3" t="inlineStr">
        <is>
          <t>Redmi Note 14</t>
        </is>
      </c>
      <c r="G163" s="3" t="inlineStr">
        <is>
          <t>2025-05-29</t>
        </is>
      </c>
      <c r="H163" s="3" t="n">
        <v>586</v>
      </c>
      <c r="I163" s="3" t="n">
        <v>373</v>
      </c>
      <c r="J163" s="3" t="n">
        <v>44789</v>
      </c>
      <c r="K163" s="3" t="inlineStr">
        <is>
          <t>In Transit</t>
        </is>
      </c>
      <c r="L163" s="3" t="inlineStr">
        <is>
          <t>Completed</t>
        </is>
      </c>
      <c r="M163">
        <f>I163*J163</f>
        <v/>
      </c>
      <c r="N163" s="32">
        <f>ROUND(M163/100000, 0)</f>
        <v/>
      </c>
      <c r="O163">
        <f>H163-I163</f>
        <v/>
      </c>
      <c r="P163">
        <f>TEXT(G163,"mmmm")</f>
        <v/>
      </c>
      <c r="Q163">
        <f>YEAR(G163)</f>
        <v/>
      </c>
    </row>
    <row r="164">
      <c r="A164" s="3" t="n">
        <v>168</v>
      </c>
      <c r="B164" s="3" t="inlineStr">
        <is>
          <t>Noida Plant</t>
        </is>
      </c>
      <c r="C164" s="3" t="inlineStr">
        <is>
          <t>Testing</t>
        </is>
      </c>
      <c r="D164" s="3" t="inlineStr">
        <is>
          <t>Xiaomi</t>
        </is>
      </c>
      <c r="E164" s="3" t="inlineStr">
        <is>
          <t>Smartphone</t>
        </is>
      </c>
      <c r="F164" s="3" t="inlineStr">
        <is>
          <t>Redmi Note 14</t>
        </is>
      </c>
      <c r="G164" s="3" t="inlineStr">
        <is>
          <t>2025-11-08</t>
        </is>
      </c>
      <c r="H164" s="3" t="n">
        <v>2607</v>
      </c>
      <c r="I164" s="3" t="n">
        <v>2244</v>
      </c>
      <c r="J164" s="3" t="n">
        <v>113055</v>
      </c>
      <c r="K164" s="3" t="inlineStr">
        <is>
          <t>In Transit</t>
        </is>
      </c>
      <c r="L164" s="3" t="inlineStr">
        <is>
          <t>Completed</t>
        </is>
      </c>
      <c r="M164">
        <f>I164*J164</f>
        <v/>
      </c>
      <c r="N164" s="32">
        <f>ROUND(M164/100000, 0)</f>
        <v/>
      </c>
      <c r="O164">
        <f>H164-I164</f>
        <v/>
      </c>
      <c r="P164">
        <f>TEXT(G164,"mmmm")</f>
        <v/>
      </c>
      <c r="Q164">
        <f>YEAR(G164)</f>
        <v/>
      </c>
    </row>
    <row r="165">
      <c r="A165" s="3" t="n">
        <v>169</v>
      </c>
      <c r="B165" s="3" t="inlineStr">
        <is>
          <t>Noida Plant</t>
        </is>
      </c>
      <c r="C165" s="3" t="inlineStr">
        <is>
          <t>Assembly</t>
        </is>
      </c>
      <c r="D165" s="3" t="inlineStr">
        <is>
          <t>Xiaomi</t>
        </is>
      </c>
      <c r="E165" s="3" t="inlineStr">
        <is>
          <t>Smartphone</t>
        </is>
      </c>
      <c r="F165" s="3" t="inlineStr">
        <is>
          <t>Redmi 14C</t>
        </is>
      </c>
      <c r="G165" s="3" t="inlineStr">
        <is>
          <t>2025-08-18</t>
        </is>
      </c>
      <c r="H165" s="3" t="n">
        <v>1754</v>
      </c>
      <c r="I165" s="3" t="n">
        <v>1173</v>
      </c>
      <c r="J165" s="3" t="n">
        <v>88554</v>
      </c>
      <c r="K165" s="3" t="inlineStr">
        <is>
          <t>In Transit</t>
        </is>
      </c>
      <c r="L165" s="3" t="inlineStr">
        <is>
          <t>Completed</t>
        </is>
      </c>
      <c r="M165">
        <f>I165*J165</f>
        <v/>
      </c>
      <c r="N165" s="32">
        <f>ROUND(M165/100000, 0)</f>
        <v/>
      </c>
      <c r="O165">
        <f>H165-I165</f>
        <v/>
      </c>
      <c r="P165">
        <f>TEXT(G165,"mmmm")</f>
        <v/>
      </c>
      <c r="Q165">
        <f>YEAR(G165)</f>
        <v/>
      </c>
    </row>
    <row r="166">
      <c r="A166" s="3" t="n">
        <v>170</v>
      </c>
      <c r="B166" s="3" t="inlineStr">
        <is>
          <t>Chennai Plant</t>
        </is>
      </c>
      <c r="C166" s="3" t="inlineStr">
        <is>
          <t>Manufacturing</t>
        </is>
      </c>
      <c r="D166" s="3" t="inlineStr">
        <is>
          <t>Xiaomi</t>
        </is>
      </c>
      <c r="E166" s="3" t="inlineStr">
        <is>
          <t>Smartphone</t>
        </is>
      </c>
      <c r="F166" s="3" t="inlineStr">
        <is>
          <t>Redmi 14C</t>
        </is>
      </c>
      <c r="G166" s="3" t="inlineStr">
        <is>
          <t>2025-03-08</t>
        </is>
      </c>
      <c r="H166" s="3" t="n">
        <v>726</v>
      </c>
      <c r="I166" s="3" t="n">
        <v>489</v>
      </c>
      <c r="J166" s="3" t="n">
        <v>16352</v>
      </c>
      <c r="K166" s="3" t="inlineStr">
        <is>
          <t>Shipped</t>
        </is>
      </c>
      <c r="L166" s="3" t="inlineStr">
        <is>
          <t>In Progress</t>
        </is>
      </c>
      <c r="M166">
        <f>I166*J166</f>
        <v/>
      </c>
      <c r="N166" s="32">
        <f>ROUND(M166/100000, 0)</f>
        <v/>
      </c>
      <c r="O166">
        <f>H166-I166</f>
        <v/>
      </c>
      <c r="P166">
        <f>TEXT(G166,"mmmm")</f>
        <v/>
      </c>
      <c r="Q166">
        <f>YEAR(G166)</f>
        <v/>
      </c>
    </row>
    <row r="167">
      <c r="A167" s="3" t="n">
        <v>171</v>
      </c>
      <c r="B167" s="3" t="inlineStr">
        <is>
          <t>Bengaluru Plant</t>
        </is>
      </c>
      <c r="C167" s="3" t="inlineStr">
        <is>
          <t>Packaging</t>
        </is>
      </c>
      <c r="D167" s="3" t="inlineStr">
        <is>
          <t>Xiaomi</t>
        </is>
      </c>
      <c r="E167" s="3" t="inlineStr">
        <is>
          <t>Smartphone</t>
        </is>
      </c>
      <c r="F167" s="3" t="inlineStr">
        <is>
          <t>Xiaomi 14</t>
        </is>
      </c>
      <c r="G167" s="3" t="inlineStr">
        <is>
          <t>2025-07-03</t>
        </is>
      </c>
      <c r="H167" s="3" t="n">
        <v>3436</v>
      </c>
      <c r="I167" s="3" t="n">
        <v>2664</v>
      </c>
      <c r="J167" s="3" t="n">
        <v>84951</v>
      </c>
      <c r="K167" s="3" t="inlineStr">
        <is>
          <t>Pending</t>
        </is>
      </c>
      <c r="L167" s="3" t="inlineStr">
        <is>
          <t>In Progress</t>
        </is>
      </c>
      <c r="M167">
        <f>I167*J167</f>
        <v/>
      </c>
      <c r="N167" s="32">
        <f>ROUND(M167/100000, 0)</f>
        <v/>
      </c>
      <c r="O167">
        <f>H167-I167</f>
        <v/>
      </c>
      <c r="P167">
        <f>TEXT(G167,"mmmm")</f>
        <v/>
      </c>
      <c r="Q167">
        <f>YEAR(G167)</f>
        <v/>
      </c>
    </row>
    <row r="168">
      <c r="A168" s="3" t="n">
        <v>172</v>
      </c>
      <c r="B168" s="3" t="inlineStr">
        <is>
          <t>Noida Plant</t>
        </is>
      </c>
      <c r="C168" s="3" t="inlineStr">
        <is>
          <t>Assembly</t>
        </is>
      </c>
      <c r="D168" s="3" t="inlineStr">
        <is>
          <t>Xiaomi</t>
        </is>
      </c>
      <c r="E168" s="3" t="inlineStr">
        <is>
          <t>Smartphone</t>
        </is>
      </c>
      <c r="F168" s="3" t="inlineStr">
        <is>
          <t>Redmi 14C</t>
        </is>
      </c>
      <c r="G168" s="3" t="inlineStr">
        <is>
          <t>2025-07-20</t>
        </is>
      </c>
      <c r="H168" s="3" t="n">
        <v>3080</v>
      </c>
      <c r="I168" s="3" t="n">
        <v>2244</v>
      </c>
      <c r="J168" s="3" t="n">
        <v>34392</v>
      </c>
      <c r="K168" s="3" t="inlineStr">
        <is>
          <t>Pending</t>
        </is>
      </c>
      <c r="L168" s="3" t="inlineStr">
        <is>
          <t>In Progress</t>
        </is>
      </c>
      <c r="M168">
        <f>I168*J168</f>
        <v/>
      </c>
      <c r="N168" s="32">
        <f>ROUND(M168/100000, 0)</f>
        <v/>
      </c>
      <c r="O168">
        <f>H168-I168</f>
        <v/>
      </c>
      <c r="P168">
        <f>TEXT(G168,"mmmm")</f>
        <v/>
      </c>
      <c r="Q168">
        <f>YEAR(G168)</f>
        <v/>
      </c>
    </row>
    <row r="169">
      <c r="A169" s="3" t="n">
        <v>173</v>
      </c>
      <c r="B169" s="3" t="inlineStr">
        <is>
          <t>Noida Plant</t>
        </is>
      </c>
      <c r="C169" s="3" t="inlineStr">
        <is>
          <t>Assembly</t>
        </is>
      </c>
      <c r="D169" s="3" t="inlineStr">
        <is>
          <t>Xiaomi</t>
        </is>
      </c>
      <c r="E169" s="3" t="inlineStr">
        <is>
          <t>Smartphone</t>
        </is>
      </c>
      <c r="F169" s="3" t="inlineStr">
        <is>
          <t>Xiaomi 14</t>
        </is>
      </c>
      <c r="G169" s="3" t="inlineStr">
        <is>
          <t>2025-03-21</t>
        </is>
      </c>
      <c r="H169" s="3" t="n">
        <v>1345</v>
      </c>
      <c r="I169" s="3" t="n">
        <v>1306</v>
      </c>
      <c r="J169" s="3" t="n">
        <v>110744</v>
      </c>
      <c r="K169" s="3" t="inlineStr">
        <is>
          <t>Shipped</t>
        </is>
      </c>
      <c r="L169" s="3" t="inlineStr">
        <is>
          <t>Completed</t>
        </is>
      </c>
      <c r="M169">
        <f>I169*J169</f>
        <v/>
      </c>
      <c r="N169" s="32">
        <f>ROUND(M169/100000, 0)</f>
        <v/>
      </c>
      <c r="O169">
        <f>H169-I169</f>
        <v/>
      </c>
      <c r="P169">
        <f>TEXT(G169,"mmmm")</f>
        <v/>
      </c>
      <c r="Q169">
        <f>YEAR(G169)</f>
        <v/>
      </c>
    </row>
    <row r="170">
      <c r="A170" s="3" t="n">
        <v>174</v>
      </c>
      <c r="B170" s="3" t="inlineStr">
        <is>
          <t>Sriperumbudur Plant</t>
        </is>
      </c>
      <c r="C170" s="3" t="inlineStr">
        <is>
          <t>Assembly</t>
        </is>
      </c>
      <c r="D170" s="3" t="inlineStr">
        <is>
          <t>Xiaomi</t>
        </is>
      </c>
      <c r="E170" s="3" t="inlineStr">
        <is>
          <t>Smartphone</t>
        </is>
      </c>
      <c r="F170" s="3" t="inlineStr">
        <is>
          <t>Redmi 14C</t>
        </is>
      </c>
      <c r="G170" s="3" t="inlineStr">
        <is>
          <t>2025-06-27</t>
        </is>
      </c>
      <c r="H170" s="3" t="n">
        <v>680</v>
      </c>
      <c r="I170" s="3" t="n">
        <v>574</v>
      </c>
      <c r="J170" s="3" t="n">
        <v>100887</v>
      </c>
      <c r="K170" s="3" t="inlineStr">
        <is>
          <t>Pending</t>
        </is>
      </c>
      <c r="L170" s="3" t="inlineStr">
        <is>
          <t>Completed</t>
        </is>
      </c>
      <c r="M170">
        <f>I170*J170</f>
        <v/>
      </c>
      <c r="N170" s="32">
        <f>ROUND(M170/100000, 0)</f>
        <v/>
      </c>
      <c r="O170">
        <f>H170-I170</f>
        <v/>
      </c>
      <c r="P170">
        <f>TEXT(G170,"mmmm")</f>
        <v/>
      </c>
      <c r="Q170">
        <f>YEAR(G170)</f>
        <v/>
      </c>
    </row>
    <row r="171">
      <c r="A171" s="3" t="n">
        <v>175</v>
      </c>
      <c r="B171" s="3" t="inlineStr">
        <is>
          <t>Noida Plant</t>
        </is>
      </c>
      <c r="C171" s="3" t="inlineStr">
        <is>
          <t>Testing</t>
        </is>
      </c>
      <c r="D171" s="3" t="inlineStr">
        <is>
          <t>Xiaomi</t>
        </is>
      </c>
      <c r="E171" s="3" t="inlineStr">
        <is>
          <t>Smartphone</t>
        </is>
      </c>
      <c r="F171" s="3" t="inlineStr">
        <is>
          <t>Redmi Note 14</t>
        </is>
      </c>
      <c r="G171" s="3" t="inlineStr">
        <is>
          <t>2025-04-03</t>
        </is>
      </c>
      <c r="H171" s="3" t="n">
        <v>2194</v>
      </c>
      <c r="I171" s="3" t="n">
        <v>1376</v>
      </c>
      <c r="J171" s="3" t="n">
        <v>96396</v>
      </c>
      <c r="K171" s="3" t="inlineStr">
        <is>
          <t>In Transit</t>
        </is>
      </c>
      <c r="L171" s="3" t="inlineStr">
        <is>
          <t>Completed</t>
        </is>
      </c>
      <c r="M171">
        <f>I171*J171</f>
        <v/>
      </c>
      <c r="N171" s="32">
        <f>ROUND(M171/100000, 0)</f>
        <v/>
      </c>
      <c r="O171">
        <f>H171-I171</f>
        <v/>
      </c>
      <c r="P171">
        <f>TEXT(G171,"mmmm")</f>
        <v/>
      </c>
      <c r="Q171">
        <f>YEAR(G171)</f>
        <v/>
      </c>
    </row>
    <row r="172">
      <c r="A172" s="3" t="n">
        <v>176</v>
      </c>
      <c r="B172" s="3" t="inlineStr">
        <is>
          <t>Chennai Plant</t>
        </is>
      </c>
      <c r="C172" s="3" t="inlineStr">
        <is>
          <t>Packaging</t>
        </is>
      </c>
      <c r="D172" s="3" t="inlineStr">
        <is>
          <t>Xiaomi</t>
        </is>
      </c>
      <c r="E172" s="3" t="inlineStr">
        <is>
          <t>Smartphone</t>
        </is>
      </c>
      <c r="F172" s="3" t="inlineStr">
        <is>
          <t>Redmi Note 14</t>
        </is>
      </c>
      <c r="G172" s="3" t="inlineStr">
        <is>
          <t>2025-11-19</t>
        </is>
      </c>
      <c r="H172" s="3" t="n">
        <v>2086</v>
      </c>
      <c r="I172" s="3" t="n">
        <v>1491</v>
      </c>
      <c r="J172" s="3" t="n">
        <v>76271</v>
      </c>
      <c r="K172" s="3" t="inlineStr">
        <is>
          <t>In Transit</t>
        </is>
      </c>
      <c r="L172" s="3" t="inlineStr">
        <is>
          <t>Completed</t>
        </is>
      </c>
      <c r="M172">
        <f>I172*J172</f>
        <v/>
      </c>
      <c r="N172" s="32">
        <f>ROUND(M172/100000, 0)</f>
        <v/>
      </c>
      <c r="O172">
        <f>H172-I172</f>
        <v/>
      </c>
      <c r="P172">
        <f>TEXT(G172,"mmmm")</f>
        <v/>
      </c>
      <c r="Q172">
        <f>YEAR(G172)</f>
        <v/>
      </c>
    </row>
    <row r="173">
      <c r="A173" s="3" t="n">
        <v>177</v>
      </c>
      <c r="B173" s="3" t="inlineStr">
        <is>
          <t>Noida Plant</t>
        </is>
      </c>
      <c r="C173" s="3" t="inlineStr">
        <is>
          <t>Packaging</t>
        </is>
      </c>
      <c r="D173" s="3" t="inlineStr">
        <is>
          <t>Xiaomi</t>
        </is>
      </c>
      <c r="E173" s="3" t="inlineStr">
        <is>
          <t>Smartphone</t>
        </is>
      </c>
      <c r="F173" s="3" t="inlineStr">
        <is>
          <t>Redmi Note 14</t>
        </is>
      </c>
      <c r="G173" s="3" t="inlineStr">
        <is>
          <t>2025-08-09</t>
        </is>
      </c>
      <c r="H173" s="3" t="n">
        <v>4696</v>
      </c>
      <c r="I173" s="3" t="n">
        <v>3936</v>
      </c>
      <c r="J173" s="3" t="n">
        <v>55478</v>
      </c>
      <c r="K173" s="3" t="inlineStr">
        <is>
          <t>Shipped</t>
        </is>
      </c>
      <c r="L173" s="3" t="inlineStr">
        <is>
          <t>In Progress</t>
        </is>
      </c>
      <c r="M173">
        <f>I173*J173</f>
        <v/>
      </c>
      <c r="N173" s="32">
        <f>ROUND(M173/100000, 0)</f>
        <v/>
      </c>
      <c r="O173">
        <f>H173-I173</f>
        <v/>
      </c>
      <c r="P173">
        <f>TEXT(G173,"mmmm")</f>
        <v/>
      </c>
      <c r="Q173">
        <f>YEAR(G173)</f>
        <v/>
      </c>
    </row>
    <row r="174">
      <c r="A174" s="3" t="n">
        <v>178</v>
      </c>
      <c r="B174" s="3" t="inlineStr">
        <is>
          <t>Sriperumbudur Plant</t>
        </is>
      </c>
      <c r="C174" s="3" t="inlineStr">
        <is>
          <t>Testing</t>
        </is>
      </c>
      <c r="D174" s="3" t="inlineStr">
        <is>
          <t>Xiaomi</t>
        </is>
      </c>
      <c r="E174" s="3" t="inlineStr">
        <is>
          <t>Smartphone</t>
        </is>
      </c>
      <c r="F174" s="3" t="inlineStr">
        <is>
          <t>Xiaomi 14</t>
        </is>
      </c>
      <c r="G174" s="3" t="inlineStr">
        <is>
          <t>2025-05-22</t>
        </is>
      </c>
      <c r="H174" s="3" t="n">
        <v>3571</v>
      </c>
      <c r="I174" s="3" t="n">
        <v>2840</v>
      </c>
      <c r="J174" s="3" t="n">
        <v>21100</v>
      </c>
      <c r="K174" s="3" t="inlineStr">
        <is>
          <t>In Transit</t>
        </is>
      </c>
      <c r="L174" s="3" t="inlineStr">
        <is>
          <t>In Progress</t>
        </is>
      </c>
      <c r="M174">
        <f>I174*J174</f>
        <v/>
      </c>
      <c r="N174" s="32">
        <f>ROUND(M174/100000, 0)</f>
        <v/>
      </c>
      <c r="O174">
        <f>H174-I174</f>
        <v/>
      </c>
      <c r="P174">
        <f>TEXT(G174,"mmmm")</f>
        <v/>
      </c>
      <c r="Q174">
        <f>YEAR(G174)</f>
        <v/>
      </c>
    </row>
    <row r="175">
      <c r="A175" s="3" t="n">
        <v>179</v>
      </c>
      <c r="B175" s="3" t="inlineStr">
        <is>
          <t>Bengaluru Plant</t>
        </is>
      </c>
      <c r="C175" s="3" t="inlineStr">
        <is>
          <t>Packaging</t>
        </is>
      </c>
      <c r="D175" s="3" t="inlineStr">
        <is>
          <t>Xiaomi</t>
        </is>
      </c>
      <c r="E175" s="3" t="inlineStr">
        <is>
          <t>Smartphone</t>
        </is>
      </c>
      <c r="F175" s="3" t="inlineStr">
        <is>
          <t>Xiaomi 14</t>
        </is>
      </c>
      <c r="G175" s="3" t="inlineStr">
        <is>
          <t>2025-08-21</t>
        </is>
      </c>
      <c r="H175" s="3" t="n">
        <v>1696</v>
      </c>
      <c r="I175" s="3" t="n">
        <v>1514</v>
      </c>
      <c r="J175" s="3" t="n">
        <v>52539</v>
      </c>
      <c r="K175" s="3" t="inlineStr">
        <is>
          <t>In Transit</t>
        </is>
      </c>
      <c r="L175" s="3" t="inlineStr">
        <is>
          <t>Completed</t>
        </is>
      </c>
      <c r="M175">
        <f>I175*J175</f>
        <v/>
      </c>
      <c r="N175" s="32">
        <f>ROUND(M175/100000, 0)</f>
        <v/>
      </c>
      <c r="O175">
        <f>H175-I175</f>
        <v/>
      </c>
      <c r="P175">
        <f>TEXT(G175,"mmmm")</f>
        <v/>
      </c>
      <c r="Q175">
        <f>YEAR(G175)</f>
        <v/>
      </c>
    </row>
    <row r="176">
      <c r="A176" s="3" t="n">
        <v>181</v>
      </c>
      <c r="B176" s="3" t="inlineStr">
        <is>
          <t>Chennai Plant</t>
        </is>
      </c>
      <c r="C176" s="3" t="inlineStr">
        <is>
          <t>Packaging</t>
        </is>
      </c>
      <c r="D176" s="3" t="inlineStr">
        <is>
          <t>Vivo</t>
        </is>
      </c>
      <c r="E176" s="3" t="inlineStr">
        <is>
          <t>Smartphone</t>
        </is>
      </c>
      <c r="F176" s="3" t="inlineStr">
        <is>
          <t>Vivo Y300</t>
        </is>
      </c>
      <c r="G176" s="3" t="inlineStr">
        <is>
          <t>2025-02-09</t>
        </is>
      </c>
      <c r="H176" s="3" t="n">
        <v>3051</v>
      </c>
      <c r="I176" s="3" t="n">
        <v>2899</v>
      </c>
      <c r="J176" s="3" t="n">
        <v>113690</v>
      </c>
      <c r="K176" s="3" t="inlineStr">
        <is>
          <t>Pending</t>
        </is>
      </c>
      <c r="L176" s="3" t="inlineStr">
        <is>
          <t>In Progress</t>
        </is>
      </c>
      <c r="M176">
        <f>I176*J176</f>
        <v/>
      </c>
      <c r="N176" s="32">
        <f>ROUND(M176/100000, 0)</f>
        <v/>
      </c>
      <c r="O176">
        <f>H176-I176</f>
        <v/>
      </c>
      <c r="P176">
        <f>TEXT(G176,"mmmm")</f>
        <v/>
      </c>
      <c r="Q176">
        <f>YEAR(G176)</f>
        <v/>
      </c>
    </row>
    <row r="177">
      <c r="A177" s="3" t="n">
        <v>182</v>
      </c>
      <c r="B177" s="3" t="inlineStr">
        <is>
          <t>Pune Plant</t>
        </is>
      </c>
      <c r="C177" s="3" t="inlineStr">
        <is>
          <t>Manufacturing</t>
        </is>
      </c>
      <c r="D177" s="3" t="inlineStr">
        <is>
          <t>Vivo</t>
        </is>
      </c>
      <c r="E177" s="3" t="inlineStr">
        <is>
          <t>Smartphone</t>
        </is>
      </c>
      <c r="F177" s="3" t="inlineStr">
        <is>
          <t>Vivo Y300</t>
        </is>
      </c>
      <c r="G177" s="3" t="inlineStr">
        <is>
          <t>2025-06-14</t>
        </is>
      </c>
      <c r="H177" s="3" t="n">
        <v>2744</v>
      </c>
      <c r="I177" s="3" t="n">
        <v>1957</v>
      </c>
      <c r="J177" s="3" t="n">
        <v>13454</v>
      </c>
      <c r="K177" s="3" t="inlineStr">
        <is>
          <t>Shipped</t>
        </is>
      </c>
      <c r="L177" s="3" t="inlineStr">
        <is>
          <t>Completed</t>
        </is>
      </c>
      <c r="M177">
        <f>I177*J177</f>
        <v/>
      </c>
      <c r="N177" s="32">
        <f>ROUND(M177/100000, 0)</f>
        <v/>
      </c>
      <c r="O177">
        <f>H177-I177</f>
        <v/>
      </c>
      <c r="P177">
        <f>TEXT(G177,"mmmm")</f>
        <v/>
      </c>
      <c r="Q177">
        <f>YEAR(G177)</f>
        <v/>
      </c>
    </row>
    <row r="178">
      <c r="A178" s="3" t="n">
        <v>183</v>
      </c>
      <c r="B178" s="3" t="inlineStr">
        <is>
          <t>Pune Plant</t>
        </is>
      </c>
      <c r="C178" s="3" t="inlineStr">
        <is>
          <t>Assembly</t>
        </is>
      </c>
      <c r="D178" s="3" t="inlineStr">
        <is>
          <t>Vivo</t>
        </is>
      </c>
      <c r="E178" s="3" t="inlineStr">
        <is>
          <t>Smartphone</t>
        </is>
      </c>
      <c r="F178" s="3" t="inlineStr">
        <is>
          <t>Vivo Y300</t>
        </is>
      </c>
      <c r="G178" s="3" t="inlineStr">
        <is>
          <t>2025-09-01</t>
        </is>
      </c>
      <c r="H178" s="3" t="n">
        <v>3673</v>
      </c>
      <c r="I178" s="3" t="n">
        <v>2308</v>
      </c>
      <c r="J178" s="3" t="n">
        <v>23775</v>
      </c>
      <c r="K178" s="3" t="inlineStr">
        <is>
          <t>Shipped</t>
        </is>
      </c>
      <c r="L178" s="3" t="inlineStr">
        <is>
          <t>Completed</t>
        </is>
      </c>
      <c r="M178">
        <f>I178*J178</f>
        <v/>
      </c>
      <c r="N178" s="32">
        <f>ROUND(M178/100000, 0)</f>
        <v/>
      </c>
      <c r="O178">
        <f>H178-I178</f>
        <v/>
      </c>
      <c r="P178">
        <f>TEXT(G178,"mmmm")</f>
        <v/>
      </c>
      <c r="Q178">
        <f>YEAR(G178)</f>
        <v/>
      </c>
    </row>
    <row r="179">
      <c r="A179" s="3" t="n">
        <v>184</v>
      </c>
      <c r="B179" s="3" t="inlineStr">
        <is>
          <t>Pune Plant</t>
        </is>
      </c>
      <c r="C179" s="3" t="inlineStr">
        <is>
          <t>Assembly</t>
        </is>
      </c>
      <c r="D179" s="3" t="inlineStr">
        <is>
          <t>Vivo</t>
        </is>
      </c>
      <c r="E179" s="3" t="inlineStr">
        <is>
          <t>Smartphone</t>
        </is>
      </c>
      <c r="F179" s="3" t="inlineStr">
        <is>
          <t>Vivo Y300</t>
        </is>
      </c>
      <c r="G179" s="3" t="inlineStr">
        <is>
          <t>2025-11-20</t>
        </is>
      </c>
      <c r="H179" s="3" t="n">
        <v>3015</v>
      </c>
      <c r="I179" s="3" t="n">
        <v>2486</v>
      </c>
      <c r="J179" s="3" t="n">
        <v>93634</v>
      </c>
      <c r="K179" s="3" t="inlineStr">
        <is>
          <t>Shipped</t>
        </is>
      </c>
      <c r="L179" s="3" t="inlineStr">
        <is>
          <t>In Progress</t>
        </is>
      </c>
      <c r="M179">
        <f>I179*J179</f>
        <v/>
      </c>
      <c r="N179" s="32">
        <f>ROUND(M179/100000, 0)</f>
        <v/>
      </c>
      <c r="O179">
        <f>H179-I179</f>
        <v/>
      </c>
      <c r="P179">
        <f>TEXT(G179,"mmmm")</f>
        <v/>
      </c>
      <c r="Q179">
        <f>YEAR(G179)</f>
        <v/>
      </c>
    </row>
    <row r="180">
      <c r="A180" s="3" t="n">
        <v>185</v>
      </c>
      <c r="B180" s="3" t="inlineStr">
        <is>
          <t>Bengaluru Plant</t>
        </is>
      </c>
      <c r="C180" s="3" t="inlineStr">
        <is>
          <t>Packaging</t>
        </is>
      </c>
      <c r="D180" s="3" t="inlineStr">
        <is>
          <t>Vivo</t>
        </is>
      </c>
      <c r="E180" s="3" t="inlineStr">
        <is>
          <t>Smartphone</t>
        </is>
      </c>
      <c r="F180" s="3" t="inlineStr">
        <is>
          <t>Vivo T3</t>
        </is>
      </c>
      <c r="G180" s="3" t="inlineStr">
        <is>
          <t>2025-02-12</t>
        </is>
      </c>
      <c r="H180" s="3" t="n">
        <v>2950</v>
      </c>
      <c r="I180" s="3" t="n">
        <v>2367</v>
      </c>
      <c r="J180" s="3" t="n">
        <v>62144</v>
      </c>
      <c r="K180" s="3" t="inlineStr">
        <is>
          <t>Pending</t>
        </is>
      </c>
      <c r="L180" s="3" t="inlineStr">
        <is>
          <t>In Progress</t>
        </is>
      </c>
      <c r="M180">
        <f>I180*J180</f>
        <v/>
      </c>
      <c r="N180" s="32">
        <f>ROUND(M180/100000, 0)</f>
        <v/>
      </c>
      <c r="O180">
        <f>H180-I180</f>
        <v/>
      </c>
      <c r="P180">
        <f>TEXT(G180,"mmmm")</f>
        <v/>
      </c>
      <c r="Q180">
        <f>YEAR(G180)</f>
        <v/>
      </c>
    </row>
    <row r="181">
      <c r="A181" s="3" t="n">
        <v>186</v>
      </c>
      <c r="B181" s="3" t="inlineStr">
        <is>
          <t>Chennai Plant</t>
        </is>
      </c>
      <c r="C181" s="3" t="inlineStr">
        <is>
          <t>Manufacturing</t>
        </is>
      </c>
      <c r="D181" s="3" t="inlineStr">
        <is>
          <t>Vivo</t>
        </is>
      </c>
      <c r="E181" s="3" t="inlineStr">
        <is>
          <t>Smartphone</t>
        </is>
      </c>
      <c r="F181" s="3" t="inlineStr">
        <is>
          <t>Vivo V40</t>
        </is>
      </c>
      <c r="G181" s="3" t="inlineStr">
        <is>
          <t>2025-04-19</t>
        </is>
      </c>
      <c r="H181" s="3" t="n">
        <v>1190</v>
      </c>
      <c r="I181" s="3" t="n">
        <v>1076</v>
      </c>
      <c r="J181" s="3" t="n">
        <v>104079</v>
      </c>
      <c r="K181" s="3" t="inlineStr">
        <is>
          <t>Shipped</t>
        </is>
      </c>
      <c r="L181" s="3" t="inlineStr">
        <is>
          <t>Completed</t>
        </is>
      </c>
      <c r="M181">
        <f>I181*J181</f>
        <v/>
      </c>
      <c r="N181" s="32">
        <f>ROUND(M181/100000, 0)</f>
        <v/>
      </c>
      <c r="O181">
        <f>H181-I181</f>
        <v/>
      </c>
      <c r="P181">
        <f>TEXT(G181,"mmmm")</f>
        <v/>
      </c>
      <c r="Q181">
        <f>YEAR(G181)</f>
        <v/>
      </c>
    </row>
    <row r="182">
      <c r="A182" s="3" t="n">
        <v>187</v>
      </c>
      <c r="B182" s="3" t="inlineStr">
        <is>
          <t>Sriperumbudur Plant</t>
        </is>
      </c>
      <c r="C182" s="3" t="inlineStr">
        <is>
          <t>Testing</t>
        </is>
      </c>
      <c r="D182" s="3" t="inlineStr">
        <is>
          <t>Vivo</t>
        </is>
      </c>
      <c r="E182" s="3" t="inlineStr">
        <is>
          <t>Smartphone</t>
        </is>
      </c>
      <c r="F182" s="3" t="inlineStr">
        <is>
          <t>Vivo T3</t>
        </is>
      </c>
      <c r="G182" s="3" t="inlineStr">
        <is>
          <t>2025-10-15</t>
        </is>
      </c>
      <c r="H182" s="3" t="n">
        <v>4589</v>
      </c>
      <c r="I182" s="3" t="n">
        <v>3185</v>
      </c>
      <c r="J182" s="3" t="n">
        <v>114087</v>
      </c>
      <c r="K182" s="3" t="inlineStr">
        <is>
          <t>In Transit</t>
        </is>
      </c>
      <c r="L182" s="3" t="inlineStr">
        <is>
          <t>Completed</t>
        </is>
      </c>
      <c r="M182">
        <f>I182*J182</f>
        <v/>
      </c>
      <c r="N182" s="32">
        <f>ROUND(M182/100000, 0)</f>
        <v/>
      </c>
      <c r="O182">
        <f>H182-I182</f>
        <v/>
      </c>
      <c r="P182">
        <f>TEXT(G182,"mmmm")</f>
        <v/>
      </c>
      <c r="Q182">
        <f>YEAR(G182)</f>
        <v/>
      </c>
    </row>
    <row r="183">
      <c r="A183" s="3" t="n">
        <v>188</v>
      </c>
      <c r="B183" s="3" t="inlineStr">
        <is>
          <t>Bengaluru Plant</t>
        </is>
      </c>
      <c r="C183" s="3" t="inlineStr">
        <is>
          <t>Manufacturing</t>
        </is>
      </c>
      <c r="D183" s="3" t="inlineStr">
        <is>
          <t>Vivo</t>
        </is>
      </c>
      <c r="E183" s="3" t="inlineStr">
        <is>
          <t>Smartphone</t>
        </is>
      </c>
      <c r="F183" s="3" t="inlineStr">
        <is>
          <t>Vivo Y300</t>
        </is>
      </c>
      <c r="G183" s="3" t="inlineStr">
        <is>
          <t>2025-03-20</t>
        </is>
      </c>
      <c r="H183" s="3" t="n">
        <v>2943</v>
      </c>
      <c r="I183" s="3" t="n">
        <v>2570</v>
      </c>
      <c r="J183" s="3" t="n">
        <v>29550</v>
      </c>
      <c r="K183" s="3" t="inlineStr">
        <is>
          <t>Pending</t>
        </is>
      </c>
      <c r="L183" s="3" t="inlineStr">
        <is>
          <t>Completed</t>
        </is>
      </c>
      <c r="M183">
        <f>I183*J183</f>
        <v/>
      </c>
      <c r="N183" s="32">
        <f>ROUND(M183/100000, 0)</f>
        <v/>
      </c>
      <c r="O183">
        <f>H183-I183</f>
        <v/>
      </c>
      <c r="P183">
        <f>TEXT(G183,"mmmm")</f>
        <v/>
      </c>
      <c r="Q183">
        <f>YEAR(G183)</f>
        <v/>
      </c>
    </row>
    <row r="184">
      <c r="A184" s="3" t="n">
        <v>189</v>
      </c>
      <c r="B184" s="3" t="inlineStr">
        <is>
          <t>Sriperumbudur Plant</t>
        </is>
      </c>
      <c r="C184" s="3" t="inlineStr">
        <is>
          <t>Testing</t>
        </is>
      </c>
      <c r="D184" s="3" t="inlineStr">
        <is>
          <t>Vivo</t>
        </is>
      </c>
      <c r="E184" s="3" t="inlineStr">
        <is>
          <t>Smartphone</t>
        </is>
      </c>
      <c r="F184" s="3" t="inlineStr">
        <is>
          <t>Vivo V40</t>
        </is>
      </c>
      <c r="G184" s="3" t="inlineStr">
        <is>
          <t>2025-10-22</t>
        </is>
      </c>
      <c r="H184" s="3" t="n">
        <v>3188</v>
      </c>
      <c r="I184" s="3" t="n">
        <v>2751</v>
      </c>
      <c r="J184" s="3" t="n">
        <v>36996</v>
      </c>
      <c r="K184" s="3" t="inlineStr">
        <is>
          <t>In Transit</t>
        </is>
      </c>
      <c r="L184" s="3" t="inlineStr">
        <is>
          <t>Completed</t>
        </is>
      </c>
      <c r="M184">
        <f>I184*J184</f>
        <v/>
      </c>
      <c r="N184" s="32">
        <f>ROUND(M184/100000, 0)</f>
        <v/>
      </c>
      <c r="O184">
        <f>H184-I184</f>
        <v/>
      </c>
      <c r="P184">
        <f>TEXT(G184,"mmmm")</f>
        <v/>
      </c>
      <c r="Q184">
        <f>YEAR(G184)</f>
        <v/>
      </c>
    </row>
    <row r="185">
      <c r="A185" s="3" t="n">
        <v>190</v>
      </c>
      <c r="B185" s="3" t="inlineStr">
        <is>
          <t>Noida Plant</t>
        </is>
      </c>
      <c r="C185" s="3" t="inlineStr">
        <is>
          <t>Testing</t>
        </is>
      </c>
      <c r="D185" s="3" t="inlineStr">
        <is>
          <t>Vivo</t>
        </is>
      </c>
      <c r="E185" s="3" t="inlineStr">
        <is>
          <t>Smartphone</t>
        </is>
      </c>
      <c r="F185" s="3" t="inlineStr">
        <is>
          <t>Vivo T3</t>
        </is>
      </c>
      <c r="G185" s="3" t="inlineStr">
        <is>
          <t>2025-11-22</t>
        </is>
      </c>
      <c r="H185" s="3" t="n">
        <v>4063</v>
      </c>
      <c r="I185" s="3" t="n">
        <v>3521</v>
      </c>
      <c r="J185" s="3" t="n">
        <v>80081</v>
      </c>
      <c r="K185" s="3" t="inlineStr">
        <is>
          <t>Shipped</t>
        </is>
      </c>
      <c r="L185" s="3" t="inlineStr">
        <is>
          <t>In Progress</t>
        </is>
      </c>
      <c r="M185">
        <f>I185*J185</f>
        <v/>
      </c>
      <c r="N185" s="32">
        <f>ROUND(M185/100000, 0)</f>
        <v/>
      </c>
      <c r="O185">
        <f>H185-I185</f>
        <v/>
      </c>
      <c r="P185">
        <f>TEXT(G185,"mmmm")</f>
        <v/>
      </c>
      <c r="Q185">
        <f>YEAR(G185)</f>
        <v/>
      </c>
    </row>
    <row r="186">
      <c r="A186" s="3" t="n">
        <v>191</v>
      </c>
      <c r="B186" s="3" t="inlineStr">
        <is>
          <t>Pune Plant</t>
        </is>
      </c>
      <c r="C186" s="3" t="inlineStr">
        <is>
          <t>Manufacturing</t>
        </is>
      </c>
      <c r="D186" s="3" t="inlineStr">
        <is>
          <t>Vivo</t>
        </is>
      </c>
      <c r="E186" s="3" t="inlineStr">
        <is>
          <t>Smartphone</t>
        </is>
      </c>
      <c r="F186" s="3" t="inlineStr">
        <is>
          <t>Vivo V40</t>
        </is>
      </c>
      <c r="G186" s="3" t="inlineStr">
        <is>
          <t>2025-09-10</t>
        </is>
      </c>
      <c r="H186" s="3" t="n">
        <v>1545</v>
      </c>
      <c r="I186" s="3" t="n">
        <v>962</v>
      </c>
      <c r="J186" s="3" t="n">
        <v>89716</v>
      </c>
      <c r="K186" s="3" t="inlineStr">
        <is>
          <t>Pending</t>
        </is>
      </c>
      <c r="L186" s="3" t="inlineStr">
        <is>
          <t>In Progress</t>
        </is>
      </c>
      <c r="M186">
        <f>I186*J186</f>
        <v/>
      </c>
      <c r="N186" s="32">
        <f>ROUND(M186/100000, 0)</f>
        <v/>
      </c>
      <c r="O186">
        <f>H186-I186</f>
        <v/>
      </c>
      <c r="P186">
        <f>TEXT(G186,"mmmm")</f>
        <v/>
      </c>
      <c r="Q186">
        <f>YEAR(G186)</f>
        <v/>
      </c>
    </row>
    <row r="187">
      <c r="A187" s="3" t="n">
        <v>192</v>
      </c>
      <c r="B187" s="3" t="inlineStr">
        <is>
          <t>Chennai Plant</t>
        </is>
      </c>
      <c r="C187" s="3" t="inlineStr">
        <is>
          <t>Packaging</t>
        </is>
      </c>
      <c r="D187" s="3" t="inlineStr">
        <is>
          <t>Vivo</t>
        </is>
      </c>
      <c r="E187" s="3" t="inlineStr">
        <is>
          <t>Smartphone</t>
        </is>
      </c>
      <c r="F187" s="3" t="inlineStr">
        <is>
          <t>Vivo Y300</t>
        </is>
      </c>
      <c r="G187" s="3" t="inlineStr">
        <is>
          <t>2025-01-23</t>
        </is>
      </c>
      <c r="H187" s="3" t="n">
        <v>3801</v>
      </c>
      <c r="I187" s="3" t="n">
        <v>3265</v>
      </c>
      <c r="J187" s="3" t="n">
        <v>48465</v>
      </c>
      <c r="K187" s="3" t="inlineStr">
        <is>
          <t>Pending</t>
        </is>
      </c>
      <c r="L187" s="3" t="inlineStr">
        <is>
          <t>Completed</t>
        </is>
      </c>
      <c r="M187">
        <f>I187*J187</f>
        <v/>
      </c>
      <c r="N187" s="32">
        <f>ROUND(M187/100000, 0)</f>
        <v/>
      </c>
      <c r="O187">
        <f>H187-I187</f>
        <v/>
      </c>
      <c r="P187">
        <f>TEXT(G187,"mmmm")</f>
        <v/>
      </c>
      <c r="Q187">
        <f>YEAR(G187)</f>
        <v/>
      </c>
    </row>
    <row r="188">
      <c r="A188" s="3" t="n">
        <v>193</v>
      </c>
      <c r="B188" s="3" t="inlineStr">
        <is>
          <t>Bengaluru Plant</t>
        </is>
      </c>
      <c r="C188" s="3" t="inlineStr">
        <is>
          <t>Packaging</t>
        </is>
      </c>
      <c r="D188" s="3" t="inlineStr">
        <is>
          <t>Vivo</t>
        </is>
      </c>
      <c r="E188" s="3" t="inlineStr">
        <is>
          <t>Smartphone</t>
        </is>
      </c>
      <c r="F188" s="3" t="inlineStr">
        <is>
          <t>Vivo V40</t>
        </is>
      </c>
      <c r="G188" s="3" t="inlineStr">
        <is>
          <t>2025-05-22</t>
        </is>
      </c>
      <c r="H188" s="3" t="n">
        <v>2746</v>
      </c>
      <c r="I188" s="3" t="n">
        <v>2250</v>
      </c>
      <c r="J188" s="3" t="n">
        <v>38467</v>
      </c>
      <c r="K188" s="3" t="inlineStr">
        <is>
          <t>Pending</t>
        </is>
      </c>
      <c r="L188" s="3" t="inlineStr">
        <is>
          <t>Completed</t>
        </is>
      </c>
      <c r="M188">
        <f>I188*J188</f>
        <v/>
      </c>
      <c r="N188" s="32">
        <f>ROUND(M188/100000, 0)</f>
        <v/>
      </c>
      <c r="O188">
        <f>H188-I188</f>
        <v/>
      </c>
      <c r="P188">
        <f>TEXT(G188,"mmmm")</f>
        <v/>
      </c>
      <c r="Q188">
        <f>YEAR(G188)</f>
        <v/>
      </c>
    </row>
    <row r="189">
      <c r="A189" s="3" t="n">
        <v>194</v>
      </c>
      <c r="B189" s="3" t="inlineStr">
        <is>
          <t>Pune Plant</t>
        </is>
      </c>
      <c r="C189" s="3" t="inlineStr">
        <is>
          <t>Testing</t>
        </is>
      </c>
      <c r="D189" s="3" t="inlineStr">
        <is>
          <t>Vivo</t>
        </is>
      </c>
      <c r="E189" s="3" t="inlineStr">
        <is>
          <t>Smartphone</t>
        </is>
      </c>
      <c r="F189" s="3" t="inlineStr">
        <is>
          <t>Vivo T3</t>
        </is>
      </c>
      <c r="G189" s="3" t="inlineStr">
        <is>
          <t>2025-05-28</t>
        </is>
      </c>
      <c r="H189" s="3" t="n">
        <v>1048</v>
      </c>
      <c r="I189" s="3" t="n">
        <v>695</v>
      </c>
      <c r="J189" s="3" t="n">
        <v>80735</v>
      </c>
      <c r="K189" s="3" t="inlineStr">
        <is>
          <t>Shipped</t>
        </is>
      </c>
      <c r="L189" s="3" t="inlineStr">
        <is>
          <t>In Progress</t>
        </is>
      </c>
      <c r="M189">
        <f>I189*J189</f>
        <v/>
      </c>
      <c r="N189" s="32">
        <f>ROUND(M189/100000, 0)</f>
        <v/>
      </c>
      <c r="O189">
        <f>H189-I189</f>
        <v/>
      </c>
      <c r="P189">
        <f>TEXT(G189,"mmmm")</f>
        <v/>
      </c>
      <c r="Q189">
        <f>YEAR(G189)</f>
        <v/>
      </c>
    </row>
    <row r="190">
      <c r="A190" s="3" t="n">
        <v>195</v>
      </c>
      <c r="B190" s="3" t="inlineStr">
        <is>
          <t>Noida Plant</t>
        </is>
      </c>
      <c r="C190" s="3" t="inlineStr">
        <is>
          <t>Assembly</t>
        </is>
      </c>
      <c r="D190" s="3" t="inlineStr">
        <is>
          <t>Vivo</t>
        </is>
      </c>
      <c r="E190" s="3" t="inlineStr">
        <is>
          <t>Smartphone</t>
        </is>
      </c>
      <c r="F190" s="3" t="inlineStr">
        <is>
          <t>Vivo Y300</t>
        </is>
      </c>
      <c r="G190" s="3" t="inlineStr">
        <is>
          <t>2025-10-06</t>
        </is>
      </c>
      <c r="H190" s="3" t="n">
        <v>4570</v>
      </c>
      <c r="I190" s="3" t="n">
        <v>4118</v>
      </c>
      <c r="J190" s="3" t="n">
        <v>68963</v>
      </c>
      <c r="K190" s="3" t="inlineStr">
        <is>
          <t>In Transit</t>
        </is>
      </c>
      <c r="L190" s="3" t="inlineStr">
        <is>
          <t>In Progress</t>
        </is>
      </c>
      <c r="M190">
        <f>I190*J190</f>
        <v/>
      </c>
      <c r="N190" s="32">
        <f>ROUND(M190/100000, 0)</f>
        <v/>
      </c>
      <c r="O190">
        <f>H190-I190</f>
        <v/>
      </c>
      <c r="P190">
        <f>TEXT(G190,"mmmm")</f>
        <v/>
      </c>
      <c r="Q190">
        <f>YEAR(G190)</f>
        <v/>
      </c>
    </row>
    <row r="191">
      <c r="A191" s="3" t="n">
        <v>196</v>
      </c>
      <c r="B191" s="3" t="inlineStr">
        <is>
          <t>Noida Plant</t>
        </is>
      </c>
      <c r="C191" s="3" t="inlineStr">
        <is>
          <t>Testing</t>
        </is>
      </c>
      <c r="D191" s="3" t="inlineStr">
        <is>
          <t>Vivo</t>
        </is>
      </c>
      <c r="E191" s="3" t="inlineStr">
        <is>
          <t>Smartphone</t>
        </is>
      </c>
      <c r="F191" s="3" t="inlineStr">
        <is>
          <t>Vivo V40</t>
        </is>
      </c>
      <c r="G191" s="3" t="inlineStr">
        <is>
          <t>2025-05-03</t>
        </is>
      </c>
      <c r="H191" s="3" t="n">
        <v>1443</v>
      </c>
      <c r="I191" s="3" t="n">
        <v>1387</v>
      </c>
      <c r="J191" s="3" t="n">
        <v>25479</v>
      </c>
      <c r="K191" s="3" t="inlineStr">
        <is>
          <t>Shipped</t>
        </is>
      </c>
      <c r="L191" s="3" t="inlineStr">
        <is>
          <t>Completed</t>
        </is>
      </c>
      <c r="M191">
        <f>I191*J191</f>
        <v/>
      </c>
      <c r="N191" s="32">
        <f>ROUND(M191/100000, 0)</f>
        <v/>
      </c>
      <c r="O191">
        <f>H191-I191</f>
        <v/>
      </c>
      <c r="P191">
        <f>TEXT(G191,"mmmm")</f>
        <v/>
      </c>
      <c r="Q191">
        <f>YEAR(G191)</f>
        <v/>
      </c>
    </row>
    <row r="192">
      <c r="A192" s="3" t="n">
        <v>197</v>
      </c>
      <c r="B192" s="3" t="inlineStr">
        <is>
          <t>Pune Plant</t>
        </is>
      </c>
      <c r="C192" s="3" t="inlineStr">
        <is>
          <t>Manufacturing</t>
        </is>
      </c>
      <c r="D192" s="3" t="inlineStr">
        <is>
          <t>Vivo</t>
        </is>
      </c>
      <c r="E192" s="3" t="inlineStr">
        <is>
          <t>Smartphone</t>
        </is>
      </c>
      <c r="F192" s="3" t="inlineStr">
        <is>
          <t>Vivo T3</t>
        </is>
      </c>
      <c r="G192" s="3" t="inlineStr">
        <is>
          <t>2025-01-23</t>
        </is>
      </c>
      <c r="H192" s="3" t="n">
        <v>3240</v>
      </c>
      <c r="I192" s="3" t="n">
        <v>2197</v>
      </c>
      <c r="J192" s="3" t="n">
        <v>34365</v>
      </c>
      <c r="K192" s="3" t="inlineStr">
        <is>
          <t>Shipped</t>
        </is>
      </c>
      <c r="L192" s="3" t="inlineStr">
        <is>
          <t>In Progress</t>
        </is>
      </c>
      <c r="M192">
        <f>I192*J192</f>
        <v/>
      </c>
      <c r="N192" s="32">
        <f>ROUND(M192/100000, 0)</f>
        <v/>
      </c>
      <c r="O192">
        <f>H192-I192</f>
        <v/>
      </c>
      <c r="P192">
        <f>TEXT(G192,"mmmm")</f>
        <v/>
      </c>
      <c r="Q192">
        <f>YEAR(G192)</f>
        <v/>
      </c>
    </row>
    <row r="193">
      <c r="A193" s="3" t="n">
        <v>198</v>
      </c>
      <c r="B193" s="3" t="inlineStr">
        <is>
          <t>Pune Plant</t>
        </is>
      </c>
      <c r="C193" s="3" t="inlineStr">
        <is>
          <t>Testing</t>
        </is>
      </c>
      <c r="D193" s="3" t="inlineStr">
        <is>
          <t>Vivo</t>
        </is>
      </c>
      <c r="E193" s="3" t="inlineStr">
        <is>
          <t>Smartphone</t>
        </is>
      </c>
      <c r="F193" s="3" t="inlineStr">
        <is>
          <t>Vivo V40</t>
        </is>
      </c>
      <c r="G193" s="3" t="inlineStr">
        <is>
          <t>2025-08-29</t>
        </is>
      </c>
      <c r="H193" s="3" t="n">
        <v>4735</v>
      </c>
      <c r="I193" s="3" t="n">
        <v>3744</v>
      </c>
      <c r="J193" s="3" t="n">
        <v>39564</v>
      </c>
      <c r="K193" s="3" t="inlineStr">
        <is>
          <t>Pending</t>
        </is>
      </c>
      <c r="L193" s="3" t="inlineStr">
        <is>
          <t>Completed</t>
        </is>
      </c>
      <c r="M193">
        <f>I193*J193</f>
        <v/>
      </c>
      <c r="N193" s="32">
        <f>ROUND(M193/100000, 0)</f>
        <v/>
      </c>
      <c r="O193">
        <f>H193-I193</f>
        <v/>
      </c>
      <c r="P193">
        <f>TEXT(G193,"mmmm")</f>
        <v/>
      </c>
      <c r="Q193">
        <f>YEAR(G193)</f>
        <v/>
      </c>
    </row>
    <row r="194">
      <c r="A194" s="3" t="n">
        <v>199</v>
      </c>
      <c r="B194" s="3" t="inlineStr">
        <is>
          <t>Pune Plant</t>
        </is>
      </c>
      <c r="C194" s="3" t="inlineStr">
        <is>
          <t>Testing</t>
        </is>
      </c>
      <c r="D194" s="3" t="inlineStr">
        <is>
          <t>Vivo</t>
        </is>
      </c>
      <c r="E194" s="3" t="inlineStr">
        <is>
          <t>Smartphone</t>
        </is>
      </c>
      <c r="F194" s="3" t="inlineStr">
        <is>
          <t>Vivo Y300</t>
        </is>
      </c>
      <c r="G194" s="3" t="inlineStr">
        <is>
          <t>2025-04-18</t>
        </is>
      </c>
      <c r="H194" s="3" t="n">
        <v>4292</v>
      </c>
      <c r="I194" s="3" t="n">
        <v>3141</v>
      </c>
      <c r="J194" s="3" t="n">
        <v>20220</v>
      </c>
      <c r="K194" s="3" t="inlineStr">
        <is>
          <t>In Transit</t>
        </is>
      </c>
      <c r="L194" s="3" t="inlineStr">
        <is>
          <t>Completed</t>
        </is>
      </c>
      <c r="M194">
        <f>I194*J194</f>
        <v/>
      </c>
      <c r="N194" s="32">
        <f>ROUND(M194/100000, 0)</f>
        <v/>
      </c>
      <c r="O194">
        <f>H194-I194</f>
        <v/>
      </c>
      <c r="P194">
        <f>TEXT(G194,"mmmm")</f>
        <v/>
      </c>
      <c r="Q194">
        <f>YEAR(G194)</f>
        <v/>
      </c>
    </row>
    <row r="195">
      <c r="A195" s="3" t="n">
        <v>200</v>
      </c>
      <c r="B195" s="3" t="inlineStr">
        <is>
          <t>Bengaluru Plant</t>
        </is>
      </c>
      <c r="C195" s="3" t="inlineStr">
        <is>
          <t>Assembly</t>
        </is>
      </c>
      <c r="D195" s="3" t="inlineStr">
        <is>
          <t>Vivo</t>
        </is>
      </c>
      <c r="E195" s="3" t="inlineStr">
        <is>
          <t>Smartphone</t>
        </is>
      </c>
      <c r="F195" s="3" t="inlineStr">
        <is>
          <t>Vivo Y300</t>
        </is>
      </c>
      <c r="G195" s="3" t="inlineStr">
        <is>
          <t>2025-06-03</t>
        </is>
      </c>
      <c r="H195" s="3" t="n">
        <v>4189</v>
      </c>
      <c r="I195" s="3" t="n">
        <v>3863</v>
      </c>
      <c r="J195" s="3" t="n">
        <v>117692</v>
      </c>
      <c r="K195" s="3" t="inlineStr">
        <is>
          <t>Shipped</t>
        </is>
      </c>
      <c r="L195" s="3" t="inlineStr">
        <is>
          <t>In Progress</t>
        </is>
      </c>
      <c r="M195">
        <f>I195*J195</f>
        <v/>
      </c>
      <c r="N195" s="32">
        <f>ROUND(M195/100000, 0)</f>
        <v/>
      </c>
      <c r="O195">
        <f>H195-I195</f>
        <v/>
      </c>
      <c r="P195">
        <f>TEXT(G195,"mmmm")</f>
        <v/>
      </c>
      <c r="Q195">
        <f>YEAR(G195)</f>
        <v/>
      </c>
    </row>
    <row r="196">
      <c r="A196" s="3" t="n">
        <v>201</v>
      </c>
      <c r="B196" s="3" t="inlineStr">
        <is>
          <t>Bengaluru Plant</t>
        </is>
      </c>
      <c r="C196" s="3" t="inlineStr">
        <is>
          <t>Assembly</t>
        </is>
      </c>
      <c r="D196" s="3" t="inlineStr">
        <is>
          <t>Vivo</t>
        </is>
      </c>
      <c r="E196" s="3" t="inlineStr">
        <is>
          <t>Smartphone</t>
        </is>
      </c>
      <c r="F196" s="3" t="inlineStr">
        <is>
          <t>Vivo T3</t>
        </is>
      </c>
      <c r="G196" s="3" t="inlineStr">
        <is>
          <t>2025-07-29</t>
        </is>
      </c>
      <c r="H196" s="3" t="n">
        <v>1353</v>
      </c>
      <c r="I196" s="3" t="n">
        <v>926</v>
      </c>
      <c r="J196" s="3" t="n">
        <v>79793</v>
      </c>
      <c r="K196" s="3" t="inlineStr">
        <is>
          <t>Pending</t>
        </is>
      </c>
      <c r="L196" s="3" t="inlineStr">
        <is>
          <t>Completed</t>
        </is>
      </c>
      <c r="M196">
        <f>I196*J196</f>
        <v/>
      </c>
      <c r="N196" s="32">
        <f>ROUND(M196/100000, 0)</f>
        <v/>
      </c>
      <c r="O196">
        <f>H196-I196</f>
        <v/>
      </c>
      <c r="P196">
        <f>TEXT(G196,"mmmm")</f>
        <v/>
      </c>
      <c r="Q196">
        <f>YEAR(G196)</f>
        <v/>
      </c>
    </row>
    <row r="197">
      <c r="A197" s="3" t="n">
        <v>202</v>
      </c>
      <c r="B197" s="3" t="inlineStr">
        <is>
          <t>Pune Plant</t>
        </is>
      </c>
      <c r="C197" s="3" t="inlineStr">
        <is>
          <t>Testing</t>
        </is>
      </c>
      <c r="D197" s="3" t="inlineStr">
        <is>
          <t>Vivo</t>
        </is>
      </c>
      <c r="E197" s="3" t="inlineStr">
        <is>
          <t>Smartphone</t>
        </is>
      </c>
      <c r="F197" s="3" t="inlineStr">
        <is>
          <t>Vivo V40</t>
        </is>
      </c>
      <c r="G197" s="3" t="inlineStr">
        <is>
          <t>2025-06-17</t>
        </is>
      </c>
      <c r="H197" s="3" t="n">
        <v>2434</v>
      </c>
      <c r="I197" s="3" t="n">
        <v>1794</v>
      </c>
      <c r="J197" s="3" t="n">
        <v>43609</v>
      </c>
      <c r="K197" s="3" t="inlineStr">
        <is>
          <t>In Transit</t>
        </is>
      </c>
      <c r="L197" s="3" t="inlineStr">
        <is>
          <t>Completed</t>
        </is>
      </c>
      <c r="M197">
        <f>I197*J197</f>
        <v/>
      </c>
      <c r="N197" s="32">
        <f>ROUND(M197/100000, 0)</f>
        <v/>
      </c>
      <c r="O197">
        <f>H197-I197</f>
        <v/>
      </c>
      <c r="P197">
        <f>TEXT(G197,"mmmm")</f>
        <v/>
      </c>
      <c r="Q197">
        <f>YEAR(G197)</f>
        <v/>
      </c>
    </row>
    <row r="198">
      <c r="A198" s="3" t="n">
        <v>203</v>
      </c>
      <c r="B198" s="3" t="inlineStr">
        <is>
          <t>Noida Plant</t>
        </is>
      </c>
      <c r="C198" s="3" t="inlineStr">
        <is>
          <t>Testing</t>
        </is>
      </c>
      <c r="D198" s="3" t="inlineStr">
        <is>
          <t>Vivo</t>
        </is>
      </c>
      <c r="E198" s="3" t="inlineStr">
        <is>
          <t>Smartphone</t>
        </is>
      </c>
      <c r="F198" s="3" t="inlineStr">
        <is>
          <t>Vivo V40</t>
        </is>
      </c>
      <c r="G198" s="3" t="inlineStr">
        <is>
          <t>2025-06-05</t>
        </is>
      </c>
      <c r="H198" s="3" t="n">
        <v>1406</v>
      </c>
      <c r="I198" s="3" t="n">
        <v>954</v>
      </c>
      <c r="J198" s="3" t="n">
        <v>112622</v>
      </c>
      <c r="K198" s="3" t="inlineStr">
        <is>
          <t>Shipped</t>
        </is>
      </c>
      <c r="L198" s="3" t="inlineStr">
        <is>
          <t>Completed</t>
        </is>
      </c>
      <c r="M198">
        <f>I198*J198</f>
        <v/>
      </c>
      <c r="N198" s="32">
        <f>ROUND(M198/100000, 0)</f>
        <v/>
      </c>
      <c r="O198">
        <f>H198-I198</f>
        <v/>
      </c>
      <c r="P198">
        <f>TEXT(G198,"mmmm")</f>
        <v/>
      </c>
      <c r="Q198">
        <f>YEAR(G198)</f>
        <v/>
      </c>
    </row>
    <row r="199">
      <c r="A199" s="3" t="n">
        <v>204</v>
      </c>
      <c r="B199" s="3" t="inlineStr">
        <is>
          <t>Sriperumbudur Plant</t>
        </is>
      </c>
      <c r="C199" s="3" t="inlineStr">
        <is>
          <t>Packaging</t>
        </is>
      </c>
      <c r="D199" s="3" t="inlineStr">
        <is>
          <t>Vivo</t>
        </is>
      </c>
      <c r="E199" s="3" t="inlineStr">
        <is>
          <t>Smartphone</t>
        </is>
      </c>
      <c r="F199" s="3" t="inlineStr">
        <is>
          <t>Vivo T3</t>
        </is>
      </c>
      <c r="G199" s="3" t="inlineStr">
        <is>
          <t>2025-03-10</t>
        </is>
      </c>
      <c r="H199" s="3" t="n">
        <v>2872</v>
      </c>
      <c r="I199" s="3" t="n">
        <v>2076</v>
      </c>
      <c r="J199" s="3" t="n">
        <v>97837</v>
      </c>
      <c r="K199" s="3" t="inlineStr">
        <is>
          <t>Pending</t>
        </is>
      </c>
      <c r="L199" s="3" t="inlineStr">
        <is>
          <t>In Progress</t>
        </is>
      </c>
      <c r="M199">
        <f>I199*J199</f>
        <v/>
      </c>
      <c r="N199" s="32">
        <f>ROUND(M199/100000, 0)</f>
        <v/>
      </c>
      <c r="O199">
        <f>H199-I199</f>
        <v/>
      </c>
      <c r="P199">
        <f>TEXT(G199,"mmmm")</f>
        <v/>
      </c>
      <c r="Q199">
        <f>YEAR(G199)</f>
        <v/>
      </c>
    </row>
    <row r="200">
      <c r="A200" s="3" t="n">
        <v>205</v>
      </c>
      <c r="B200" s="3" t="inlineStr">
        <is>
          <t>Pune Plant</t>
        </is>
      </c>
      <c r="C200" s="3" t="inlineStr">
        <is>
          <t>Testing</t>
        </is>
      </c>
      <c r="D200" s="3" t="inlineStr">
        <is>
          <t>Vivo</t>
        </is>
      </c>
      <c r="E200" s="3" t="inlineStr">
        <is>
          <t>Smartphone</t>
        </is>
      </c>
      <c r="F200" s="3" t="inlineStr">
        <is>
          <t>Vivo T3</t>
        </is>
      </c>
      <c r="G200" s="3" t="inlineStr">
        <is>
          <t>2025-12-18</t>
        </is>
      </c>
      <c r="H200" s="3" t="n">
        <v>3646</v>
      </c>
      <c r="I200" s="3" t="n">
        <v>2862</v>
      </c>
      <c r="J200" s="3" t="n">
        <v>85248</v>
      </c>
      <c r="K200" s="3" t="inlineStr">
        <is>
          <t>Pending</t>
        </is>
      </c>
      <c r="L200" s="3" t="inlineStr">
        <is>
          <t>In Progress</t>
        </is>
      </c>
      <c r="M200">
        <f>I200*J200</f>
        <v/>
      </c>
      <c r="N200" s="32">
        <f>ROUND(M200/100000, 0)</f>
        <v/>
      </c>
      <c r="O200">
        <f>H200-I200</f>
        <v/>
      </c>
      <c r="P200">
        <f>TEXT(G200,"mmmm")</f>
        <v/>
      </c>
      <c r="Q200">
        <f>YEAR(G200)</f>
        <v/>
      </c>
    </row>
    <row r="201">
      <c r="A201" s="3" t="n">
        <v>206</v>
      </c>
      <c r="B201" s="3" t="inlineStr">
        <is>
          <t>Sriperumbudur Plant</t>
        </is>
      </c>
      <c r="C201" s="3" t="inlineStr">
        <is>
          <t>Testing</t>
        </is>
      </c>
      <c r="D201" s="3" t="inlineStr">
        <is>
          <t>Vivo</t>
        </is>
      </c>
      <c r="E201" s="3" t="inlineStr">
        <is>
          <t>Smartphone</t>
        </is>
      </c>
      <c r="F201" s="3" t="inlineStr">
        <is>
          <t>Vivo T3</t>
        </is>
      </c>
      <c r="G201" s="3" t="inlineStr">
        <is>
          <t>2025-06-11</t>
        </is>
      </c>
      <c r="H201" s="3" t="n">
        <v>4582</v>
      </c>
      <c r="I201" s="3" t="n">
        <v>2883</v>
      </c>
      <c r="J201" s="3" t="n">
        <v>40805</v>
      </c>
      <c r="K201" s="3" t="inlineStr">
        <is>
          <t>Shipped</t>
        </is>
      </c>
      <c r="L201" s="3" t="inlineStr">
        <is>
          <t>Completed</t>
        </is>
      </c>
      <c r="M201">
        <f>I201*J201</f>
        <v/>
      </c>
      <c r="N201" s="32">
        <f>ROUND(M201/100000, 0)</f>
        <v/>
      </c>
      <c r="O201">
        <f>H201-I201</f>
        <v/>
      </c>
      <c r="P201">
        <f>TEXT(G201,"mmmm")</f>
        <v/>
      </c>
      <c r="Q201">
        <f>YEAR(G201)</f>
        <v/>
      </c>
    </row>
    <row r="202">
      <c r="A202" s="3" t="n">
        <v>207</v>
      </c>
      <c r="B202" s="3" t="inlineStr">
        <is>
          <t>Sriperumbudur Plant</t>
        </is>
      </c>
      <c r="C202" s="3" t="inlineStr">
        <is>
          <t>Packaging</t>
        </is>
      </c>
      <c r="D202" s="3" t="inlineStr">
        <is>
          <t>Vivo</t>
        </is>
      </c>
      <c r="E202" s="3" t="inlineStr">
        <is>
          <t>Smartphone</t>
        </is>
      </c>
      <c r="F202" s="3" t="inlineStr">
        <is>
          <t>Vivo Y300</t>
        </is>
      </c>
      <c r="G202" s="3" t="inlineStr">
        <is>
          <t>2025-06-20</t>
        </is>
      </c>
      <c r="H202" s="3" t="n">
        <v>3170</v>
      </c>
      <c r="I202" s="3" t="n">
        <v>2417</v>
      </c>
      <c r="J202" s="3" t="n">
        <v>57486</v>
      </c>
      <c r="K202" s="3" t="inlineStr">
        <is>
          <t>Shipped</t>
        </is>
      </c>
      <c r="L202" s="3" t="inlineStr">
        <is>
          <t>Completed</t>
        </is>
      </c>
      <c r="M202">
        <f>I202*J202</f>
        <v/>
      </c>
      <c r="N202" s="32">
        <f>ROUND(M202/100000, 0)</f>
        <v/>
      </c>
      <c r="O202">
        <f>H202-I202</f>
        <v/>
      </c>
      <c r="P202">
        <f>TEXT(G202,"mmmm")</f>
        <v/>
      </c>
      <c r="Q202">
        <f>YEAR(G202)</f>
        <v/>
      </c>
    </row>
    <row r="203">
      <c r="A203" s="3" t="n">
        <v>208</v>
      </c>
      <c r="B203" s="3" t="inlineStr">
        <is>
          <t>Pune Plant</t>
        </is>
      </c>
      <c r="C203" s="3" t="inlineStr">
        <is>
          <t>Testing</t>
        </is>
      </c>
      <c r="D203" s="3" t="inlineStr">
        <is>
          <t>Vivo</t>
        </is>
      </c>
      <c r="E203" s="3" t="inlineStr">
        <is>
          <t>Smartphone</t>
        </is>
      </c>
      <c r="F203" s="3" t="inlineStr">
        <is>
          <t>Vivo Y300</t>
        </is>
      </c>
      <c r="G203" s="3" t="inlineStr">
        <is>
          <t>2025-02-22</t>
        </is>
      </c>
      <c r="H203" s="3" t="n">
        <v>2284</v>
      </c>
      <c r="I203" s="3" t="n">
        <v>1449</v>
      </c>
      <c r="J203" s="3" t="n">
        <v>85945</v>
      </c>
      <c r="K203" s="3" t="inlineStr">
        <is>
          <t>In Transit</t>
        </is>
      </c>
      <c r="L203" s="3" t="inlineStr">
        <is>
          <t>In Progress</t>
        </is>
      </c>
      <c r="M203">
        <f>I203*J203</f>
        <v/>
      </c>
      <c r="N203" s="32">
        <f>ROUND(M203/100000, 0)</f>
        <v/>
      </c>
      <c r="O203">
        <f>H203-I203</f>
        <v/>
      </c>
      <c r="P203">
        <f>TEXT(G203,"mmmm")</f>
        <v/>
      </c>
      <c r="Q203">
        <f>YEAR(G203)</f>
        <v/>
      </c>
    </row>
    <row r="204">
      <c r="A204" s="3" t="n">
        <v>209</v>
      </c>
      <c r="B204" s="3" t="inlineStr">
        <is>
          <t>Pune Plant</t>
        </is>
      </c>
      <c r="C204" s="3" t="inlineStr">
        <is>
          <t>Assembly</t>
        </is>
      </c>
      <c r="D204" s="3" t="inlineStr">
        <is>
          <t>Vivo</t>
        </is>
      </c>
      <c r="E204" s="3" t="inlineStr">
        <is>
          <t>Smartphone</t>
        </is>
      </c>
      <c r="F204" s="3" t="inlineStr">
        <is>
          <t>Vivo Y300</t>
        </is>
      </c>
      <c r="G204" s="3" t="inlineStr">
        <is>
          <t>2025-03-31</t>
        </is>
      </c>
      <c r="H204" s="3" t="n">
        <v>3522</v>
      </c>
      <c r="I204" s="3" t="n">
        <v>2504</v>
      </c>
      <c r="J204" s="3" t="n">
        <v>67821</v>
      </c>
      <c r="K204" s="3" t="inlineStr">
        <is>
          <t>In Transit</t>
        </is>
      </c>
      <c r="L204" s="3" t="inlineStr">
        <is>
          <t>Completed</t>
        </is>
      </c>
      <c r="M204">
        <f>I204*J204</f>
        <v/>
      </c>
      <c r="N204" s="32">
        <f>ROUND(M204/100000, 0)</f>
        <v/>
      </c>
      <c r="O204">
        <f>H204-I204</f>
        <v/>
      </c>
      <c r="P204">
        <f>TEXT(G204,"mmmm")</f>
        <v/>
      </c>
      <c r="Q204">
        <f>YEAR(G204)</f>
        <v/>
      </c>
    </row>
    <row r="205">
      <c r="A205" s="3" t="n">
        <v>211</v>
      </c>
      <c r="B205" s="3" t="inlineStr">
        <is>
          <t>Noida Plant</t>
        </is>
      </c>
      <c r="C205" s="3" t="inlineStr">
        <is>
          <t>Assembly</t>
        </is>
      </c>
      <c r="D205" s="3" t="inlineStr">
        <is>
          <t>Vivo</t>
        </is>
      </c>
      <c r="E205" s="3" t="inlineStr">
        <is>
          <t>Smartphone</t>
        </is>
      </c>
      <c r="F205" s="3" t="inlineStr">
        <is>
          <t>Vivo Y300</t>
        </is>
      </c>
      <c r="G205" s="3" t="inlineStr">
        <is>
          <t>2025-01-29</t>
        </is>
      </c>
      <c r="H205" s="3" t="n">
        <v>2626</v>
      </c>
      <c r="I205" s="3" t="n">
        <v>1710</v>
      </c>
      <c r="J205" s="3" t="n">
        <v>38978</v>
      </c>
      <c r="K205" s="3" t="inlineStr">
        <is>
          <t>In Transit</t>
        </is>
      </c>
      <c r="L205" s="3" t="inlineStr">
        <is>
          <t>Completed</t>
        </is>
      </c>
      <c r="M205">
        <f>I205*J205</f>
        <v/>
      </c>
      <c r="N205" s="32">
        <f>ROUND(M205/100000, 0)</f>
        <v/>
      </c>
      <c r="O205">
        <f>H205-I205</f>
        <v/>
      </c>
      <c r="P205">
        <f>TEXT(G205,"mmmm")</f>
        <v/>
      </c>
      <c r="Q205">
        <f>YEAR(G205)</f>
        <v/>
      </c>
    </row>
    <row r="206">
      <c r="A206" s="3" t="n">
        <v>212</v>
      </c>
      <c r="B206" s="3" t="inlineStr">
        <is>
          <t>Chennai Plant</t>
        </is>
      </c>
      <c r="C206" s="3" t="inlineStr">
        <is>
          <t>Testing</t>
        </is>
      </c>
      <c r="D206" s="3" t="inlineStr">
        <is>
          <t>Vivo</t>
        </is>
      </c>
      <c r="E206" s="3" t="inlineStr">
        <is>
          <t>Smartphone</t>
        </is>
      </c>
      <c r="F206" s="3" t="inlineStr">
        <is>
          <t>Vivo V40</t>
        </is>
      </c>
      <c r="G206" s="3" t="inlineStr">
        <is>
          <t>2025-02-26</t>
        </is>
      </c>
      <c r="H206" s="3" t="n">
        <v>2587</v>
      </c>
      <c r="I206" s="3" t="n">
        <v>2148</v>
      </c>
      <c r="J206" s="3" t="n">
        <v>61566</v>
      </c>
      <c r="K206" s="3" t="inlineStr">
        <is>
          <t>Shipped</t>
        </is>
      </c>
      <c r="L206" s="3" t="inlineStr">
        <is>
          <t>Completed</t>
        </is>
      </c>
      <c r="M206">
        <f>I206*J206</f>
        <v/>
      </c>
      <c r="N206" s="32">
        <f>ROUND(M206/100000, 0)</f>
        <v/>
      </c>
      <c r="O206">
        <f>H206-I206</f>
        <v/>
      </c>
      <c r="P206">
        <f>TEXT(G206,"mmmm")</f>
        <v/>
      </c>
      <c r="Q206">
        <f>YEAR(G206)</f>
        <v/>
      </c>
    </row>
    <row r="207">
      <c r="A207" s="3" t="n">
        <v>214</v>
      </c>
      <c r="B207" s="3" t="inlineStr">
        <is>
          <t>Noida Plant</t>
        </is>
      </c>
      <c r="C207" s="3" t="inlineStr">
        <is>
          <t>Packaging</t>
        </is>
      </c>
      <c r="D207" s="3" t="inlineStr">
        <is>
          <t>Vivo</t>
        </is>
      </c>
      <c r="E207" s="3" t="inlineStr">
        <is>
          <t>Smartphone</t>
        </is>
      </c>
      <c r="F207" s="3" t="inlineStr">
        <is>
          <t>Vivo T3</t>
        </is>
      </c>
      <c r="G207" s="3" t="inlineStr">
        <is>
          <t>2025-02-26</t>
        </is>
      </c>
      <c r="H207" s="3" t="n">
        <v>4331</v>
      </c>
      <c r="I207" s="3" t="n">
        <v>2863</v>
      </c>
      <c r="J207" s="3" t="n">
        <v>71042</v>
      </c>
      <c r="K207" s="3" t="inlineStr">
        <is>
          <t>In Transit</t>
        </is>
      </c>
      <c r="L207" s="3" t="inlineStr">
        <is>
          <t>In Progress</t>
        </is>
      </c>
      <c r="M207">
        <f>I207*J207</f>
        <v/>
      </c>
      <c r="N207" s="32">
        <f>ROUND(M207/100000, 0)</f>
        <v/>
      </c>
      <c r="O207">
        <f>H207-I207</f>
        <v/>
      </c>
      <c r="P207">
        <f>TEXT(G207,"mmmm")</f>
        <v/>
      </c>
      <c r="Q207">
        <f>YEAR(G207)</f>
        <v/>
      </c>
    </row>
    <row r="208">
      <c r="A208" s="3" t="n">
        <v>215</v>
      </c>
      <c r="B208" s="3" t="inlineStr">
        <is>
          <t>Noida Plant</t>
        </is>
      </c>
      <c r="C208" s="3" t="inlineStr">
        <is>
          <t>Packaging</t>
        </is>
      </c>
      <c r="D208" s="3" t="inlineStr">
        <is>
          <t>Vivo</t>
        </is>
      </c>
      <c r="E208" s="3" t="inlineStr">
        <is>
          <t>Smartphone</t>
        </is>
      </c>
      <c r="F208" s="3" t="inlineStr">
        <is>
          <t>Vivo Y300</t>
        </is>
      </c>
      <c r="G208" s="3" t="inlineStr">
        <is>
          <t>2025-12-27</t>
        </is>
      </c>
      <c r="H208" s="3" t="n">
        <v>4090</v>
      </c>
      <c r="I208" s="3" t="n">
        <v>2912</v>
      </c>
      <c r="J208" s="3" t="n">
        <v>50205</v>
      </c>
      <c r="K208" s="3" t="inlineStr">
        <is>
          <t>In Transit</t>
        </is>
      </c>
      <c r="L208" s="3" t="inlineStr">
        <is>
          <t>In Progress</t>
        </is>
      </c>
      <c r="M208">
        <f>I208*J208</f>
        <v/>
      </c>
      <c r="N208" s="32">
        <f>ROUND(M208/100000, 0)</f>
        <v/>
      </c>
      <c r="O208">
        <f>H208-I208</f>
        <v/>
      </c>
      <c r="P208">
        <f>TEXT(G208,"mmmm")</f>
        <v/>
      </c>
      <c r="Q208">
        <f>YEAR(G208)</f>
        <v/>
      </c>
    </row>
    <row r="209">
      <c r="A209" s="3" t="n">
        <v>216</v>
      </c>
      <c r="B209" s="3" t="inlineStr">
        <is>
          <t>Chennai Plant</t>
        </is>
      </c>
      <c r="C209" s="3" t="inlineStr">
        <is>
          <t>Assembly</t>
        </is>
      </c>
      <c r="D209" s="3" t="inlineStr">
        <is>
          <t>Vivo</t>
        </is>
      </c>
      <c r="E209" s="3" t="inlineStr">
        <is>
          <t>Smartphone</t>
        </is>
      </c>
      <c r="F209" s="3" t="inlineStr">
        <is>
          <t>Vivo V40</t>
        </is>
      </c>
      <c r="G209" s="3" t="inlineStr">
        <is>
          <t>2025-01-02</t>
        </is>
      </c>
      <c r="H209" s="3" t="n">
        <v>2794</v>
      </c>
      <c r="I209" s="3" t="n">
        <v>2608</v>
      </c>
      <c r="J209" s="3" t="n">
        <v>82792</v>
      </c>
      <c r="K209" s="3" t="inlineStr">
        <is>
          <t>In Transit</t>
        </is>
      </c>
      <c r="L209" s="3" t="inlineStr">
        <is>
          <t>In Progress</t>
        </is>
      </c>
      <c r="M209">
        <f>I209*J209</f>
        <v/>
      </c>
      <c r="N209" s="32">
        <f>ROUND(M209/100000, 0)</f>
        <v/>
      </c>
      <c r="O209">
        <f>H209-I209</f>
        <v/>
      </c>
      <c r="P209">
        <f>TEXT(G209,"mmmm")</f>
        <v/>
      </c>
      <c r="Q209">
        <f>YEAR(G209)</f>
        <v/>
      </c>
    </row>
    <row r="210">
      <c r="A210" s="3" t="n">
        <v>217</v>
      </c>
      <c r="B210" s="3" t="inlineStr">
        <is>
          <t>Pune Plant</t>
        </is>
      </c>
      <c r="C210" s="3" t="inlineStr">
        <is>
          <t>Manufacturing</t>
        </is>
      </c>
      <c r="D210" s="3" t="inlineStr">
        <is>
          <t>Vivo</t>
        </is>
      </c>
      <c r="E210" s="3" t="inlineStr">
        <is>
          <t>Smartphone</t>
        </is>
      </c>
      <c r="F210" s="3" t="inlineStr">
        <is>
          <t>Vivo V40</t>
        </is>
      </c>
      <c r="G210" s="3" t="inlineStr">
        <is>
          <t>2025-05-16</t>
        </is>
      </c>
      <c r="H210" s="3" t="n">
        <v>1062</v>
      </c>
      <c r="I210" s="3" t="n">
        <v>750</v>
      </c>
      <c r="J210" s="3" t="n">
        <v>112063</v>
      </c>
      <c r="K210" s="3" t="inlineStr">
        <is>
          <t>Shipped</t>
        </is>
      </c>
      <c r="L210" s="3" t="inlineStr">
        <is>
          <t>In Progress</t>
        </is>
      </c>
      <c r="M210">
        <f>I210*J210</f>
        <v/>
      </c>
      <c r="N210" s="32">
        <f>ROUND(M210/100000, 0)</f>
        <v/>
      </c>
      <c r="O210">
        <f>H210-I210</f>
        <v/>
      </c>
      <c r="P210">
        <f>TEXT(G210,"mmmm")</f>
        <v/>
      </c>
      <c r="Q210">
        <f>YEAR(G210)</f>
        <v/>
      </c>
    </row>
    <row r="211">
      <c r="A211" s="3" t="n">
        <v>218</v>
      </c>
      <c r="B211" s="3" t="inlineStr">
        <is>
          <t>Sriperumbudur Plant</t>
        </is>
      </c>
      <c r="C211" s="3" t="inlineStr">
        <is>
          <t>Manufacturing</t>
        </is>
      </c>
      <c r="D211" s="3" t="inlineStr">
        <is>
          <t>Vivo</t>
        </is>
      </c>
      <c r="E211" s="3" t="inlineStr">
        <is>
          <t>Smartphone</t>
        </is>
      </c>
      <c r="F211" s="3" t="inlineStr">
        <is>
          <t>Vivo V40</t>
        </is>
      </c>
      <c r="G211" s="3" t="inlineStr">
        <is>
          <t>2025-01-18</t>
        </is>
      </c>
      <c r="H211" s="3" t="n">
        <v>2853</v>
      </c>
      <c r="I211" s="3" t="n">
        <v>1846</v>
      </c>
      <c r="J211" s="3" t="n">
        <v>53001</v>
      </c>
      <c r="K211" s="3" t="inlineStr">
        <is>
          <t>Pending</t>
        </is>
      </c>
      <c r="L211" s="3" t="inlineStr">
        <is>
          <t>In Progress</t>
        </is>
      </c>
      <c r="M211">
        <f>I211*J211</f>
        <v/>
      </c>
      <c r="N211" s="32">
        <f>ROUND(M211/100000, 0)</f>
        <v/>
      </c>
      <c r="O211">
        <f>H211-I211</f>
        <v/>
      </c>
      <c r="P211">
        <f>TEXT(G211,"mmmm")</f>
        <v/>
      </c>
      <c r="Q211">
        <f>YEAR(G211)</f>
        <v/>
      </c>
    </row>
    <row r="212">
      <c r="A212" s="3" t="n">
        <v>219</v>
      </c>
      <c r="B212" s="3" t="inlineStr">
        <is>
          <t>Chennai Plant</t>
        </is>
      </c>
      <c r="C212" s="3" t="inlineStr">
        <is>
          <t>Packaging</t>
        </is>
      </c>
      <c r="D212" s="3" t="inlineStr">
        <is>
          <t>Vivo</t>
        </is>
      </c>
      <c r="E212" s="3" t="inlineStr">
        <is>
          <t>Smartphone</t>
        </is>
      </c>
      <c r="F212" s="3" t="inlineStr">
        <is>
          <t>Vivo Y300</t>
        </is>
      </c>
      <c r="G212" s="3" t="inlineStr">
        <is>
          <t>2025-08-16</t>
        </is>
      </c>
      <c r="H212" s="3" t="n">
        <v>2070</v>
      </c>
      <c r="I212" s="3" t="n">
        <v>1729</v>
      </c>
      <c r="J212" s="3" t="n">
        <v>44965</v>
      </c>
      <c r="K212" s="3" t="inlineStr">
        <is>
          <t>Pending</t>
        </is>
      </c>
      <c r="L212" s="3" t="inlineStr">
        <is>
          <t>In Progress</t>
        </is>
      </c>
      <c r="M212">
        <f>I212*J212</f>
        <v/>
      </c>
      <c r="N212" s="32">
        <f>ROUND(M212/100000, 0)</f>
        <v/>
      </c>
      <c r="O212">
        <f>H212-I212</f>
        <v/>
      </c>
      <c r="P212">
        <f>TEXT(G212,"mmmm")</f>
        <v/>
      </c>
      <c r="Q212">
        <f>YEAR(G212)</f>
        <v/>
      </c>
    </row>
    <row r="213">
      <c r="A213" s="3" t="n">
        <v>220</v>
      </c>
      <c r="B213" s="3" t="inlineStr">
        <is>
          <t>Pune Plant</t>
        </is>
      </c>
      <c r="C213" s="3" t="inlineStr">
        <is>
          <t>Manufacturing</t>
        </is>
      </c>
      <c r="D213" s="3" t="inlineStr">
        <is>
          <t>Vivo</t>
        </is>
      </c>
      <c r="E213" s="3" t="inlineStr">
        <is>
          <t>Smartphone</t>
        </is>
      </c>
      <c r="F213" s="3" t="inlineStr">
        <is>
          <t>Vivo Y300</t>
        </is>
      </c>
      <c r="G213" s="3" t="inlineStr">
        <is>
          <t>2025-12-26</t>
        </is>
      </c>
      <c r="H213" s="3" t="n">
        <v>1771</v>
      </c>
      <c r="I213" s="3" t="n">
        <v>1414</v>
      </c>
      <c r="J213" s="3" t="n">
        <v>46363</v>
      </c>
      <c r="K213" s="3" t="inlineStr">
        <is>
          <t>Shipped</t>
        </is>
      </c>
      <c r="L213" s="3" t="inlineStr">
        <is>
          <t>In Progress</t>
        </is>
      </c>
      <c r="M213">
        <f>I213*J213</f>
        <v/>
      </c>
      <c r="N213" s="32">
        <f>ROUND(M213/100000, 0)</f>
        <v/>
      </c>
      <c r="O213">
        <f>H213-I213</f>
        <v/>
      </c>
      <c r="P213">
        <f>TEXT(G213,"mmmm")</f>
        <v/>
      </c>
      <c r="Q213">
        <f>YEAR(G213)</f>
        <v/>
      </c>
    </row>
    <row r="214">
      <c r="A214" s="3" t="n">
        <v>221</v>
      </c>
      <c r="B214" s="3" t="inlineStr">
        <is>
          <t>Pune Plant</t>
        </is>
      </c>
      <c r="C214" s="3" t="inlineStr">
        <is>
          <t>Testing</t>
        </is>
      </c>
      <c r="D214" s="3" t="inlineStr">
        <is>
          <t>Vivo</t>
        </is>
      </c>
      <c r="E214" s="3" t="inlineStr">
        <is>
          <t>Smartphone</t>
        </is>
      </c>
      <c r="F214" s="3" t="inlineStr">
        <is>
          <t>Vivo Y300</t>
        </is>
      </c>
      <c r="G214" s="3" t="inlineStr">
        <is>
          <t>2025-10-06</t>
        </is>
      </c>
      <c r="H214" s="3" t="n">
        <v>3943</v>
      </c>
      <c r="I214" s="3" t="n">
        <v>2428</v>
      </c>
      <c r="J214" s="3" t="n">
        <v>36906</v>
      </c>
      <c r="K214" s="3" t="inlineStr">
        <is>
          <t>In Transit</t>
        </is>
      </c>
      <c r="L214" s="3" t="inlineStr">
        <is>
          <t>In Progress</t>
        </is>
      </c>
      <c r="M214">
        <f>I214*J214</f>
        <v/>
      </c>
      <c r="N214" s="32">
        <f>ROUND(M214/100000, 0)</f>
        <v/>
      </c>
      <c r="O214">
        <f>H214-I214</f>
        <v/>
      </c>
      <c r="P214">
        <f>TEXT(G214,"mmmm")</f>
        <v/>
      </c>
      <c r="Q214">
        <f>YEAR(G214)</f>
        <v/>
      </c>
    </row>
    <row r="215">
      <c r="A215" s="3" t="n">
        <v>222</v>
      </c>
      <c r="B215" s="3" t="inlineStr">
        <is>
          <t>Sriperumbudur Plant</t>
        </is>
      </c>
      <c r="C215" s="3" t="inlineStr">
        <is>
          <t>Testing</t>
        </is>
      </c>
      <c r="D215" s="3" t="inlineStr">
        <is>
          <t>Vivo</t>
        </is>
      </c>
      <c r="E215" s="3" t="inlineStr">
        <is>
          <t>Smartphone</t>
        </is>
      </c>
      <c r="F215" s="3" t="inlineStr">
        <is>
          <t>Vivo T3</t>
        </is>
      </c>
      <c r="G215" s="3" t="inlineStr">
        <is>
          <t>2025-09-01</t>
        </is>
      </c>
      <c r="H215" s="3" t="n">
        <v>772</v>
      </c>
      <c r="I215" s="3" t="n">
        <v>577</v>
      </c>
      <c r="J215" s="3" t="n">
        <v>97771</v>
      </c>
      <c r="K215" s="3" t="inlineStr">
        <is>
          <t>In Transit</t>
        </is>
      </c>
      <c r="L215" s="3" t="inlineStr">
        <is>
          <t>In Progress</t>
        </is>
      </c>
      <c r="M215">
        <f>I215*J215</f>
        <v/>
      </c>
      <c r="N215" s="32">
        <f>ROUND(M215/100000, 0)</f>
        <v/>
      </c>
      <c r="O215">
        <f>H215-I215</f>
        <v/>
      </c>
      <c r="P215">
        <f>TEXT(G215,"mmmm")</f>
        <v/>
      </c>
      <c r="Q215">
        <f>YEAR(G215)</f>
        <v/>
      </c>
    </row>
    <row r="216">
      <c r="A216" s="3" t="n">
        <v>223</v>
      </c>
      <c r="B216" s="3" t="inlineStr">
        <is>
          <t>Chennai Plant</t>
        </is>
      </c>
      <c r="C216" s="3" t="inlineStr">
        <is>
          <t>Testing</t>
        </is>
      </c>
      <c r="D216" s="3" t="inlineStr">
        <is>
          <t>Vivo</t>
        </is>
      </c>
      <c r="E216" s="3" t="inlineStr">
        <is>
          <t>Smartphone</t>
        </is>
      </c>
      <c r="F216" s="3" t="inlineStr">
        <is>
          <t>Vivo Y300</t>
        </is>
      </c>
      <c r="G216" s="3" t="inlineStr">
        <is>
          <t>2025-06-20</t>
        </is>
      </c>
      <c r="H216" s="3" t="n">
        <v>4581</v>
      </c>
      <c r="I216" s="3" t="n">
        <v>4005</v>
      </c>
      <c r="J216" s="3" t="n">
        <v>111094</v>
      </c>
      <c r="K216" s="3" t="inlineStr">
        <is>
          <t>In Transit</t>
        </is>
      </c>
      <c r="L216" s="3" t="inlineStr">
        <is>
          <t>In Progress</t>
        </is>
      </c>
      <c r="M216">
        <f>I216*J216</f>
        <v/>
      </c>
      <c r="N216" s="32">
        <f>ROUND(M216/100000, 0)</f>
        <v/>
      </c>
      <c r="O216">
        <f>H216-I216</f>
        <v/>
      </c>
      <c r="P216">
        <f>TEXT(G216,"mmmm")</f>
        <v/>
      </c>
      <c r="Q216">
        <f>YEAR(G216)</f>
        <v/>
      </c>
    </row>
    <row r="217">
      <c r="A217" s="3" t="n">
        <v>224</v>
      </c>
      <c r="B217" s="3" t="inlineStr">
        <is>
          <t>Bengaluru Plant</t>
        </is>
      </c>
      <c r="C217" s="3" t="inlineStr">
        <is>
          <t>Testing</t>
        </is>
      </c>
      <c r="D217" s="3" t="inlineStr">
        <is>
          <t>Vivo</t>
        </is>
      </c>
      <c r="E217" s="3" t="inlineStr">
        <is>
          <t>Smartphone</t>
        </is>
      </c>
      <c r="F217" s="3" t="inlineStr">
        <is>
          <t>Vivo V40</t>
        </is>
      </c>
      <c r="G217" s="3" t="inlineStr">
        <is>
          <t>2025-09-17</t>
        </is>
      </c>
      <c r="H217" s="3" t="n">
        <v>4924</v>
      </c>
      <c r="I217" s="3" t="n">
        <v>3728</v>
      </c>
      <c r="J217" s="3" t="n">
        <v>47214</v>
      </c>
      <c r="K217" s="3" t="inlineStr">
        <is>
          <t>Shipped</t>
        </is>
      </c>
      <c r="L217" s="3" t="inlineStr">
        <is>
          <t>In Progress</t>
        </is>
      </c>
      <c r="M217">
        <f>I217*J217</f>
        <v/>
      </c>
      <c r="N217" s="32">
        <f>ROUND(M217/100000, 0)</f>
        <v/>
      </c>
      <c r="O217">
        <f>H217-I217</f>
        <v/>
      </c>
      <c r="P217">
        <f>TEXT(G217,"mmmm")</f>
        <v/>
      </c>
      <c r="Q217">
        <f>YEAR(G217)</f>
        <v/>
      </c>
    </row>
    <row r="218">
      <c r="A218" s="3" t="n">
        <v>225</v>
      </c>
      <c r="B218" s="3" t="inlineStr">
        <is>
          <t>Sriperumbudur Plant</t>
        </is>
      </c>
      <c r="C218" s="3" t="inlineStr">
        <is>
          <t>Manufacturing</t>
        </is>
      </c>
      <c r="D218" s="3" t="inlineStr">
        <is>
          <t>Vivo</t>
        </is>
      </c>
      <c r="E218" s="3" t="inlineStr">
        <is>
          <t>Smartphone</t>
        </is>
      </c>
      <c r="F218" s="3" t="inlineStr">
        <is>
          <t>Vivo Y300</t>
        </is>
      </c>
      <c r="G218" s="3" t="inlineStr">
        <is>
          <t>2025-11-04</t>
        </is>
      </c>
      <c r="H218" s="3" t="n">
        <v>4648</v>
      </c>
      <c r="I218" s="3" t="n">
        <v>4322</v>
      </c>
      <c r="J218" s="3" t="n">
        <v>105139</v>
      </c>
      <c r="K218" s="3" t="inlineStr">
        <is>
          <t>Shipped</t>
        </is>
      </c>
      <c r="L218" s="3" t="inlineStr">
        <is>
          <t>Completed</t>
        </is>
      </c>
      <c r="M218">
        <f>I218*J218</f>
        <v/>
      </c>
      <c r="N218" s="32">
        <f>ROUND(M218/100000, 0)</f>
        <v/>
      </c>
      <c r="O218">
        <f>H218-I218</f>
        <v/>
      </c>
      <c r="P218">
        <f>TEXT(G218,"mmmm")</f>
        <v/>
      </c>
      <c r="Q218">
        <f>YEAR(G218)</f>
        <v/>
      </c>
    </row>
    <row r="219">
      <c r="A219" s="3" t="n">
        <v>226</v>
      </c>
      <c r="B219" s="3" t="inlineStr">
        <is>
          <t>Pune Plant</t>
        </is>
      </c>
      <c r="C219" s="3" t="inlineStr">
        <is>
          <t>Manufacturing</t>
        </is>
      </c>
      <c r="D219" s="3" t="inlineStr">
        <is>
          <t>Vivo</t>
        </is>
      </c>
      <c r="E219" s="3" t="inlineStr">
        <is>
          <t>Smartphone</t>
        </is>
      </c>
      <c r="F219" s="3" t="inlineStr">
        <is>
          <t>Vivo V40</t>
        </is>
      </c>
      <c r="G219" s="3" t="inlineStr">
        <is>
          <t>2025-10-05</t>
        </is>
      </c>
      <c r="H219" s="3" t="n">
        <v>2953</v>
      </c>
      <c r="I219" s="3" t="n">
        <v>2109</v>
      </c>
      <c r="J219" s="3" t="n">
        <v>18597</v>
      </c>
      <c r="K219" s="3" t="inlineStr">
        <is>
          <t>In Transit</t>
        </is>
      </c>
      <c r="L219" s="3" t="inlineStr">
        <is>
          <t>Completed</t>
        </is>
      </c>
      <c r="M219">
        <f>I219*J219</f>
        <v/>
      </c>
      <c r="N219" s="32">
        <f>ROUND(M219/100000, 0)</f>
        <v/>
      </c>
      <c r="O219">
        <f>H219-I219</f>
        <v/>
      </c>
      <c r="P219">
        <f>TEXT(G219,"mmmm")</f>
        <v/>
      </c>
      <c r="Q219">
        <f>YEAR(G219)</f>
        <v/>
      </c>
    </row>
    <row r="220">
      <c r="A220" s="3" t="n">
        <v>227</v>
      </c>
      <c r="B220" s="3" t="inlineStr">
        <is>
          <t>Noida Plant</t>
        </is>
      </c>
      <c r="C220" s="3" t="inlineStr">
        <is>
          <t>Manufacturing</t>
        </is>
      </c>
      <c r="D220" s="3" t="inlineStr">
        <is>
          <t>Vivo</t>
        </is>
      </c>
      <c r="E220" s="3" t="inlineStr">
        <is>
          <t>Smartphone</t>
        </is>
      </c>
      <c r="F220" s="3" t="inlineStr">
        <is>
          <t>Vivo Y300</t>
        </is>
      </c>
      <c r="G220" s="3" t="inlineStr">
        <is>
          <t>2025-10-19</t>
        </is>
      </c>
      <c r="H220" s="3" t="n">
        <v>1254</v>
      </c>
      <c r="I220" s="3" t="n">
        <v>881</v>
      </c>
      <c r="J220" s="3" t="n">
        <v>72167</v>
      </c>
      <c r="K220" s="3" t="inlineStr">
        <is>
          <t>Shipped</t>
        </is>
      </c>
      <c r="L220" s="3" t="inlineStr">
        <is>
          <t>In Progress</t>
        </is>
      </c>
      <c r="M220">
        <f>I220*J220</f>
        <v/>
      </c>
      <c r="N220" s="32">
        <f>ROUND(M220/100000, 0)</f>
        <v/>
      </c>
      <c r="O220">
        <f>H220-I220</f>
        <v/>
      </c>
      <c r="P220">
        <f>TEXT(G220,"mmmm")</f>
        <v/>
      </c>
      <c r="Q220">
        <f>YEAR(G220)</f>
        <v/>
      </c>
    </row>
    <row r="221">
      <c r="A221" s="3" t="n">
        <v>228</v>
      </c>
      <c r="B221" s="3" t="inlineStr">
        <is>
          <t>Pune Plant</t>
        </is>
      </c>
      <c r="C221" s="3" t="inlineStr">
        <is>
          <t>Packaging</t>
        </is>
      </c>
      <c r="D221" s="3" t="inlineStr">
        <is>
          <t>Vivo</t>
        </is>
      </c>
      <c r="E221" s="3" t="inlineStr">
        <is>
          <t>Smartphone</t>
        </is>
      </c>
      <c r="F221" s="3" t="inlineStr">
        <is>
          <t>Vivo Y300</t>
        </is>
      </c>
      <c r="G221" s="3" t="inlineStr">
        <is>
          <t>2025-08-17</t>
        </is>
      </c>
      <c r="H221" s="3" t="n">
        <v>1892</v>
      </c>
      <c r="I221" s="3" t="n">
        <v>1508</v>
      </c>
      <c r="J221" s="3" t="n">
        <v>87292</v>
      </c>
      <c r="K221" s="3" t="inlineStr">
        <is>
          <t>Shipped</t>
        </is>
      </c>
      <c r="L221" s="3" t="inlineStr">
        <is>
          <t>In Progress</t>
        </is>
      </c>
      <c r="M221">
        <f>I221*J221</f>
        <v/>
      </c>
      <c r="N221" s="32">
        <f>ROUND(M221/100000, 0)</f>
        <v/>
      </c>
      <c r="O221">
        <f>H221-I221</f>
        <v/>
      </c>
      <c r="P221">
        <f>TEXT(G221,"mmmm")</f>
        <v/>
      </c>
      <c r="Q221">
        <f>YEAR(G221)</f>
        <v/>
      </c>
    </row>
    <row r="222">
      <c r="A222" s="3" t="n">
        <v>229</v>
      </c>
      <c r="B222" s="3" t="inlineStr">
        <is>
          <t>Chennai Plant</t>
        </is>
      </c>
      <c r="C222" s="3" t="inlineStr">
        <is>
          <t>Packaging</t>
        </is>
      </c>
      <c r="D222" s="3" t="inlineStr">
        <is>
          <t>Vivo</t>
        </is>
      </c>
      <c r="E222" s="3" t="inlineStr">
        <is>
          <t>Smartphone</t>
        </is>
      </c>
      <c r="F222" s="3" t="inlineStr">
        <is>
          <t>Vivo Y300</t>
        </is>
      </c>
      <c r="G222" s="3" t="inlineStr">
        <is>
          <t>2025-11-17</t>
        </is>
      </c>
      <c r="H222" s="3" t="n">
        <v>1783</v>
      </c>
      <c r="I222" s="3" t="n">
        <v>1480</v>
      </c>
      <c r="J222" s="3" t="n">
        <v>23896</v>
      </c>
      <c r="K222" s="3" t="inlineStr">
        <is>
          <t>Shipped</t>
        </is>
      </c>
      <c r="L222" s="3" t="inlineStr">
        <is>
          <t>Completed</t>
        </is>
      </c>
      <c r="M222">
        <f>I222*J222</f>
        <v/>
      </c>
      <c r="N222" s="32">
        <f>ROUND(M222/100000, 0)</f>
        <v/>
      </c>
      <c r="O222">
        <f>H222-I222</f>
        <v/>
      </c>
      <c r="P222">
        <f>TEXT(G222,"mmmm")</f>
        <v/>
      </c>
      <c r="Q222">
        <f>YEAR(G222)</f>
        <v/>
      </c>
    </row>
    <row r="223">
      <c r="A223" s="3" t="n">
        <v>230</v>
      </c>
      <c r="B223" s="3" t="inlineStr">
        <is>
          <t>Bengaluru Plant</t>
        </is>
      </c>
      <c r="C223" s="3" t="inlineStr">
        <is>
          <t>Packaging</t>
        </is>
      </c>
      <c r="D223" s="3" t="inlineStr">
        <is>
          <t>Vivo</t>
        </is>
      </c>
      <c r="E223" s="3" t="inlineStr">
        <is>
          <t>Smartphone</t>
        </is>
      </c>
      <c r="F223" s="3" t="inlineStr">
        <is>
          <t>Vivo T3</t>
        </is>
      </c>
      <c r="G223" s="3" t="inlineStr">
        <is>
          <t>2025-08-11</t>
        </is>
      </c>
      <c r="H223" s="3" t="n">
        <v>4109</v>
      </c>
      <c r="I223" s="3" t="n">
        <v>3922</v>
      </c>
      <c r="J223" s="3" t="n">
        <v>113708</v>
      </c>
      <c r="K223" s="3" t="inlineStr">
        <is>
          <t>Pending</t>
        </is>
      </c>
      <c r="L223" s="3" t="inlineStr">
        <is>
          <t>In Progress</t>
        </is>
      </c>
      <c r="M223">
        <f>I223*J223</f>
        <v/>
      </c>
      <c r="N223" s="32">
        <f>ROUND(M223/100000, 0)</f>
        <v/>
      </c>
      <c r="O223">
        <f>H223-I223</f>
        <v/>
      </c>
      <c r="P223">
        <f>TEXT(G223,"mmmm")</f>
        <v/>
      </c>
      <c r="Q223">
        <f>YEAR(G223)</f>
        <v/>
      </c>
    </row>
    <row r="224">
      <c r="A224" s="3" t="n">
        <v>231</v>
      </c>
      <c r="B224" s="3" t="inlineStr">
        <is>
          <t>Sriperumbudur Plant</t>
        </is>
      </c>
      <c r="C224" s="3" t="inlineStr">
        <is>
          <t>Manufacturing</t>
        </is>
      </c>
      <c r="D224" s="3" t="inlineStr">
        <is>
          <t>Vivo</t>
        </is>
      </c>
      <c r="E224" s="3" t="inlineStr">
        <is>
          <t>Smartphone</t>
        </is>
      </c>
      <c r="F224" s="3" t="inlineStr">
        <is>
          <t>Vivo T3</t>
        </is>
      </c>
      <c r="G224" s="3" t="inlineStr">
        <is>
          <t>2025-06-19</t>
        </is>
      </c>
      <c r="H224" s="3" t="n">
        <v>4283</v>
      </c>
      <c r="I224" s="3" t="n">
        <v>2961</v>
      </c>
      <c r="J224" s="3" t="n">
        <v>110877</v>
      </c>
      <c r="K224" s="3" t="inlineStr">
        <is>
          <t>In Transit</t>
        </is>
      </c>
      <c r="L224" s="3" t="inlineStr">
        <is>
          <t>Completed</t>
        </is>
      </c>
      <c r="M224">
        <f>I224*J224</f>
        <v/>
      </c>
      <c r="N224" s="32">
        <f>ROUND(M224/100000, 0)</f>
        <v/>
      </c>
      <c r="O224">
        <f>H224-I224</f>
        <v/>
      </c>
      <c r="P224">
        <f>TEXT(G224,"mmmm")</f>
        <v/>
      </c>
      <c r="Q224">
        <f>YEAR(G224)</f>
        <v/>
      </c>
    </row>
    <row r="225">
      <c r="A225" s="3" t="n">
        <v>232</v>
      </c>
      <c r="B225" s="3" t="inlineStr">
        <is>
          <t>Noida Plant</t>
        </is>
      </c>
      <c r="C225" s="3" t="inlineStr">
        <is>
          <t>Assembly</t>
        </is>
      </c>
      <c r="D225" s="3" t="inlineStr">
        <is>
          <t>Vivo</t>
        </is>
      </c>
      <c r="E225" s="3" t="inlineStr">
        <is>
          <t>Smartphone</t>
        </is>
      </c>
      <c r="F225" s="3" t="inlineStr">
        <is>
          <t>Vivo V40</t>
        </is>
      </c>
      <c r="G225" s="3" t="inlineStr">
        <is>
          <t>2025-04-18</t>
        </is>
      </c>
      <c r="H225" s="3" t="n">
        <v>3257</v>
      </c>
      <c r="I225" s="3" t="n">
        <v>3089</v>
      </c>
      <c r="J225" s="3" t="n">
        <v>67402</v>
      </c>
      <c r="K225" s="3" t="inlineStr">
        <is>
          <t>Pending</t>
        </is>
      </c>
      <c r="L225" s="3" t="inlineStr">
        <is>
          <t>Completed</t>
        </is>
      </c>
      <c r="M225">
        <f>I225*J225</f>
        <v/>
      </c>
      <c r="N225" s="32">
        <f>ROUND(M225/100000, 0)</f>
        <v/>
      </c>
      <c r="O225">
        <f>H225-I225</f>
        <v/>
      </c>
      <c r="P225">
        <f>TEXT(G225,"mmmm")</f>
        <v/>
      </c>
      <c r="Q225">
        <f>YEAR(G225)</f>
        <v/>
      </c>
    </row>
    <row r="226">
      <c r="A226" s="3" t="n">
        <v>233</v>
      </c>
      <c r="B226" s="3" t="inlineStr">
        <is>
          <t>Chennai Plant</t>
        </is>
      </c>
      <c r="C226" s="3" t="inlineStr">
        <is>
          <t>Packaging</t>
        </is>
      </c>
      <c r="D226" s="3" t="inlineStr">
        <is>
          <t>Vivo</t>
        </is>
      </c>
      <c r="E226" s="3" t="inlineStr">
        <is>
          <t>Smartphone</t>
        </is>
      </c>
      <c r="F226" s="3" t="inlineStr">
        <is>
          <t>Vivo Y300</t>
        </is>
      </c>
      <c r="G226" s="3" t="inlineStr">
        <is>
          <t>2025-12-20</t>
        </is>
      </c>
      <c r="H226" s="3" t="n">
        <v>2491</v>
      </c>
      <c r="I226" s="3" t="n">
        <v>2182</v>
      </c>
      <c r="J226" s="3" t="n">
        <v>40458</v>
      </c>
      <c r="K226" s="3" t="inlineStr">
        <is>
          <t>Shipped</t>
        </is>
      </c>
      <c r="L226" s="3" t="inlineStr">
        <is>
          <t>Completed</t>
        </is>
      </c>
      <c r="M226">
        <f>I226*J226</f>
        <v/>
      </c>
      <c r="N226" s="32">
        <f>ROUND(M226/100000, 0)</f>
        <v/>
      </c>
      <c r="O226">
        <f>H226-I226</f>
        <v/>
      </c>
      <c r="P226">
        <f>TEXT(G226,"mmmm")</f>
        <v/>
      </c>
      <c r="Q226">
        <f>YEAR(G226)</f>
        <v/>
      </c>
    </row>
    <row r="227">
      <c r="A227" s="3" t="n">
        <v>234</v>
      </c>
      <c r="B227" s="3" t="inlineStr">
        <is>
          <t>Bengaluru Plant</t>
        </is>
      </c>
      <c r="C227" s="3" t="inlineStr">
        <is>
          <t>Testing</t>
        </is>
      </c>
      <c r="D227" s="3" t="inlineStr">
        <is>
          <t>Vivo</t>
        </is>
      </c>
      <c r="E227" s="3" t="inlineStr">
        <is>
          <t>Smartphone</t>
        </is>
      </c>
      <c r="F227" s="3" t="inlineStr">
        <is>
          <t>Vivo T3</t>
        </is>
      </c>
      <c r="G227" s="3" t="inlineStr">
        <is>
          <t>2025-05-22</t>
        </is>
      </c>
      <c r="H227" s="3" t="n">
        <v>1963</v>
      </c>
      <c r="I227" s="3" t="n">
        <v>1228</v>
      </c>
      <c r="J227" s="3" t="n">
        <v>27265</v>
      </c>
      <c r="K227" s="3" t="inlineStr">
        <is>
          <t>Pending</t>
        </is>
      </c>
      <c r="L227" s="3" t="inlineStr">
        <is>
          <t>In Progress</t>
        </is>
      </c>
      <c r="M227">
        <f>I227*J227</f>
        <v/>
      </c>
      <c r="N227" s="32">
        <f>ROUND(M227/100000, 0)</f>
        <v/>
      </c>
      <c r="O227">
        <f>H227-I227</f>
        <v/>
      </c>
      <c r="P227">
        <f>TEXT(G227,"mmmm")</f>
        <v/>
      </c>
      <c r="Q227">
        <f>YEAR(G227)</f>
        <v/>
      </c>
    </row>
    <row r="228">
      <c r="A228" s="3" t="n">
        <v>235</v>
      </c>
      <c r="B228" s="3" t="inlineStr">
        <is>
          <t>Bengaluru Plant</t>
        </is>
      </c>
      <c r="C228" s="3" t="inlineStr">
        <is>
          <t>Assembly</t>
        </is>
      </c>
      <c r="D228" s="3" t="inlineStr">
        <is>
          <t>Vivo</t>
        </is>
      </c>
      <c r="E228" s="3" t="inlineStr">
        <is>
          <t>Smartphone</t>
        </is>
      </c>
      <c r="F228" s="3" t="inlineStr">
        <is>
          <t>Vivo V40</t>
        </is>
      </c>
      <c r="G228" s="3" t="inlineStr">
        <is>
          <t>2025-12-21</t>
        </is>
      </c>
      <c r="H228" s="3" t="n">
        <v>2832</v>
      </c>
      <c r="I228" s="3" t="n">
        <v>2690</v>
      </c>
      <c r="J228" s="3" t="n">
        <v>79545</v>
      </c>
      <c r="K228" s="3" t="inlineStr">
        <is>
          <t>In Transit</t>
        </is>
      </c>
      <c r="L228" s="3" t="inlineStr">
        <is>
          <t>In Progress</t>
        </is>
      </c>
      <c r="M228">
        <f>I228*J228</f>
        <v/>
      </c>
      <c r="N228" s="32">
        <f>ROUND(M228/100000, 0)</f>
        <v/>
      </c>
      <c r="O228">
        <f>H228-I228</f>
        <v/>
      </c>
      <c r="P228">
        <f>TEXT(G228,"mmmm")</f>
        <v/>
      </c>
      <c r="Q228">
        <f>YEAR(G228)</f>
        <v/>
      </c>
    </row>
    <row r="229">
      <c r="A229" s="3" t="n">
        <v>236</v>
      </c>
      <c r="B229" s="3" t="inlineStr">
        <is>
          <t>Bengaluru Plant</t>
        </is>
      </c>
      <c r="C229" s="3" t="inlineStr">
        <is>
          <t>Testing</t>
        </is>
      </c>
      <c r="D229" s="3" t="inlineStr">
        <is>
          <t>Vivo</t>
        </is>
      </c>
      <c r="E229" s="3" t="inlineStr">
        <is>
          <t>Smartphone</t>
        </is>
      </c>
      <c r="F229" s="3" t="inlineStr">
        <is>
          <t>Vivo T3</t>
        </is>
      </c>
      <c r="G229" s="3" t="inlineStr">
        <is>
          <t>2025-08-25</t>
        </is>
      </c>
      <c r="H229" s="3" t="n">
        <v>836</v>
      </c>
      <c r="I229" s="3" t="n">
        <v>535</v>
      </c>
      <c r="J229" s="3" t="n">
        <v>67316</v>
      </c>
      <c r="K229" s="3" t="inlineStr">
        <is>
          <t>Pending</t>
        </is>
      </c>
      <c r="L229" s="3" t="inlineStr">
        <is>
          <t>Completed</t>
        </is>
      </c>
      <c r="M229">
        <f>I229*J229</f>
        <v/>
      </c>
      <c r="N229" s="32">
        <f>ROUND(M229/100000, 0)</f>
        <v/>
      </c>
      <c r="O229">
        <f>H229-I229</f>
        <v/>
      </c>
      <c r="P229">
        <f>TEXT(G229,"mmmm")</f>
        <v/>
      </c>
      <c r="Q229">
        <f>YEAR(G229)</f>
        <v/>
      </c>
    </row>
    <row r="230">
      <c r="A230" s="3" t="n">
        <v>237</v>
      </c>
      <c r="B230" s="3" t="inlineStr">
        <is>
          <t>Bengaluru Plant</t>
        </is>
      </c>
      <c r="C230" s="3" t="inlineStr">
        <is>
          <t>Testing</t>
        </is>
      </c>
      <c r="D230" s="3" t="inlineStr">
        <is>
          <t>Vivo</t>
        </is>
      </c>
      <c r="E230" s="3" t="inlineStr">
        <is>
          <t>Smartphone</t>
        </is>
      </c>
      <c r="F230" s="3" t="inlineStr">
        <is>
          <t>Vivo Y300</t>
        </is>
      </c>
      <c r="G230" s="3" t="inlineStr">
        <is>
          <t>2025-06-06</t>
        </is>
      </c>
      <c r="H230" s="3" t="n">
        <v>2801</v>
      </c>
      <c r="I230" s="3" t="n">
        <v>2384</v>
      </c>
      <c r="J230" s="3" t="n">
        <v>91496</v>
      </c>
      <c r="K230" s="3" t="inlineStr">
        <is>
          <t>Pending</t>
        </is>
      </c>
      <c r="L230" s="3" t="inlineStr">
        <is>
          <t>In Progress</t>
        </is>
      </c>
      <c r="M230">
        <f>I230*J230</f>
        <v/>
      </c>
      <c r="N230" s="32">
        <f>ROUND(M230/100000, 0)</f>
        <v/>
      </c>
      <c r="O230">
        <f>H230-I230</f>
        <v/>
      </c>
      <c r="P230">
        <f>TEXT(G230,"mmmm")</f>
        <v/>
      </c>
      <c r="Q230">
        <f>YEAR(G230)</f>
        <v/>
      </c>
    </row>
    <row r="231">
      <c r="A231" s="3" t="n">
        <v>238</v>
      </c>
      <c r="B231" s="3" t="inlineStr">
        <is>
          <t>Chennai Plant</t>
        </is>
      </c>
      <c r="C231" s="3" t="inlineStr">
        <is>
          <t>Testing</t>
        </is>
      </c>
      <c r="D231" s="3" t="inlineStr">
        <is>
          <t>Vivo</t>
        </is>
      </c>
      <c r="E231" s="3" t="inlineStr">
        <is>
          <t>Smartphone</t>
        </is>
      </c>
      <c r="F231" s="3" t="inlineStr">
        <is>
          <t>Vivo Y300</t>
        </is>
      </c>
      <c r="G231" s="3" t="inlineStr">
        <is>
          <t>2025-11-10</t>
        </is>
      </c>
      <c r="H231" s="3" t="n">
        <v>3388</v>
      </c>
      <c r="I231" s="3" t="n">
        <v>2314</v>
      </c>
      <c r="J231" s="3" t="n">
        <v>12894</v>
      </c>
      <c r="K231" s="3" t="inlineStr">
        <is>
          <t>Pending</t>
        </is>
      </c>
      <c r="L231" s="3" t="inlineStr">
        <is>
          <t>Completed</t>
        </is>
      </c>
      <c r="M231">
        <f>I231*J231</f>
        <v/>
      </c>
      <c r="N231" s="32">
        <f>ROUND(M231/100000, 0)</f>
        <v/>
      </c>
      <c r="O231">
        <f>H231-I231</f>
        <v/>
      </c>
      <c r="P231">
        <f>TEXT(G231,"mmmm")</f>
        <v/>
      </c>
      <c r="Q231">
        <f>YEAR(G231)</f>
        <v/>
      </c>
    </row>
    <row r="232">
      <c r="A232" s="3" t="n">
        <v>239</v>
      </c>
      <c r="B232" s="3" t="inlineStr">
        <is>
          <t>Sriperumbudur Plant</t>
        </is>
      </c>
      <c r="C232" s="3" t="inlineStr">
        <is>
          <t>Assembly</t>
        </is>
      </c>
      <c r="D232" s="3" t="inlineStr">
        <is>
          <t>Vivo</t>
        </is>
      </c>
      <c r="E232" s="3" t="inlineStr">
        <is>
          <t>Smartphone</t>
        </is>
      </c>
      <c r="F232" s="3" t="inlineStr">
        <is>
          <t>Vivo V40</t>
        </is>
      </c>
      <c r="G232" s="3" t="inlineStr">
        <is>
          <t>2025-09-09</t>
        </is>
      </c>
      <c r="H232" s="3" t="n">
        <v>1515</v>
      </c>
      <c r="I232" s="3" t="n">
        <v>1143</v>
      </c>
      <c r="J232" s="3" t="n">
        <v>73523</v>
      </c>
      <c r="K232" s="3" t="inlineStr">
        <is>
          <t>In Transit</t>
        </is>
      </c>
      <c r="L232" s="3" t="inlineStr">
        <is>
          <t>Completed</t>
        </is>
      </c>
      <c r="M232">
        <f>I232*J232</f>
        <v/>
      </c>
      <c r="N232" s="32">
        <f>ROUND(M232/100000, 0)</f>
        <v/>
      </c>
      <c r="O232">
        <f>H232-I232</f>
        <v/>
      </c>
      <c r="P232">
        <f>TEXT(G232,"mmmm")</f>
        <v/>
      </c>
      <c r="Q232">
        <f>YEAR(G232)</f>
        <v/>
      </c>
    </row>
    <row r="233">
      <c r="A233" s="3" t="n">
        <v>240</v>
      </c>
      <c r="B233" s="3" t="inlineStr">
        <is>
          <t>Sriperumbudur Plant</t>
        </is>
      </c>
      <c r="C233" s="3" t="inlineStr">
        <is>
          <t>Packaging</t>
        </is>
      </c>
      <c r="D233" s="3" t="inlineStr">
        <is>
          <t>Vivo</t>
        </is>
      </c>
      <c r="E233" s="3" t="inlineStr">
        <is>
          <t>Smartphone</t>
        </is>
      </c>
      <c r="F233" s="3" t="inlineStr">
        <is>
          <t>Vivo T3</t>
        </is>
      </c>
      <c r="G233" s="3" t="inlineStr">
        <is>
          <t>2025-07-02</t>
        </is>
      </c>
      <c r="H233" s="3" t="n">
        <v>4520</v>
      </c>
      <c r="I233" s="3" t="n">
        <v>4244</v>
      </c>
      <c r="J233" s="3" t="n">
        <v>101061</v>
      </c>
      <c r="K233" s="3" t="inlineStr">
        <is>
          <t>Shipped</t>
        </is>
      </c>
      <c r="L233" s="3" t="inlineStr">
        <is>
          <t>Completed</t>
        </is>
      </c>
      <c r="M233">
        <f>I233*J233</f>
        <v/>
      </c>
      <c r="N233" s="32">
        <f>ROUND(M233/100000, 0)</f>
        <v/>
      </c>
      <c r="O233">
        <f>H233-I233</f>
        <v/>
      </c>
      <c r="P233">
        <f>TEXT(G233,"mmmm")</f>
        <v/>
      </c>
      <c r="Q233">
        <f>YEAR(G233)</f>
        <v/>
      </c>
    </row>
    <row r="234">
      <c r="A234" s="3" t="n">
        <v>241</v>
      </c>
      <c r="B234" s="3" t="inlineStr">
        <is>
          <t>Sriperumbudur Plant</t>
        </is>
      </c>
      <c r="C234" s="3" t="inlineStr">
        <is>
          <t>Testing</t>
        </is>
      </c>
      <c r="D234" s="3" t="inlineStr">
        <is>
          <t>Oneplus</t>
        </is>
      </c>
      <c r="E234" s="3" t="inlineStr">
        <is>
          <t>Smartphone</t>
        </is>
      </c>
      <c r="F234" s="3" t="inlineStr">
        <is>
          <t>OnePlus 13R</t>
        </is>
      </c>
      <c r="G234" s="3" t="inlineStr">
        <is>
          <t>2025-03-12</t>
        </is>
      </c>
      <c r="H234" s="3" t="n">
        <v>800</v>
      </c>
      <c r="I234" s="3" t="n">
        <v>625</v>
      </c>
      <c r="J234" s="3" t="n">
        <v>66705</v>
      </c>
      <c r="K234" s="3" t="inlineStr">
        <is>
          <t>Pending</t>
        </is>
      </c>
      <c r="L234" s="3" t="inlineStr">
        <is>
          <t>Completed</t>
        </is>
      </c>
      <c r="M234">
        <f>I234*J234</f>
        <v/>
      </c>
      <c r="N234" s="32">
        <f>ROUND(M234/100000, 0)</f>
        <v/>
      </c>
      <c r="O234">
        <f>H234-I234</f>
        <v/>
      </c>
      <c r="P234">
        <f>TEXT(G234,"mmmm")</f>
        <v/>
      </c>
      <c r="Q234">
        <f>YEAR(G234)</f>
        <v/>
      </c>
    </row>
    <row r="235">
      <c r="A235" s="3" t="n">
        <v>242</v>
      </c>
      <c r="B235" s="3" t="inlineStr">
        <is>
          <t>Chennai Plant</t>
        </is>
      </c>
      <c r="C235" s="3" t="inlineStr">
        <is>
          <t>Assembly</t>
        </is>
      </c>
      <c r="D235" s="3" t="inlineStr">
        <is>
          <t>Oneplus</t>
        </is>
      </c>
      <c r="E235" s="3" t="inlineStr">
        <is>
          <t>Smartphone</t>
        </is>
      </c>
      <c r="F235" s="3" t="inlineStr">
        <is>
          <t>OnePlus Nord 5</t>
        </is>
      </c>
      <c r="G235" s="3" t="inlineStr">
        <is>
          <t>2025-12-14</t>
        </is>
      </c>
      <c r="H235" s="3" t="n">
        <v>3135</v>
      </c>
      <c r="I235" s="3" t="n">
        <v>2878</v>
      </c>
      <c r="J235" s="3" t="n">
        <v>57296</v>
      </c>
      <c r="K235" s="3" t="inlineStr">
        <is>
          <t>Pending</t>
        </is>
      </c>
      <c r="L235" s="3" t="inlineStr">
        <is>
          <t>Completed</t>
        </is>
      </c>
      <c r="M235">
        <f>I235*J235</f>
        <v/>
      </c>
      <c r="N235" s="32">
        <f>ROUND(M235/100000, 0)</f>
        <v/>
      </c>
      <c r="O235">
        <f>H235-I235</f>
        <v/>
      </c>
      <c r="P235">
        <f>TEXT(G235,"mmmm")</f>
        <v/>
      </c>
      <c r="Q235">
        <f>YEAR(G235)</f>
        <v/>
      </c>
    </row>
    <row r="236">
      <c r="A236" s="3" t="n">
        <v>243</v>
      </c>
      <c r="B236" s="3" t="inlineStr">
        <is>
          <t>Sriperumbudur Plant</t>
        </is>
      </c>
      <c r="C236" s="3" t="inlineStr">
        <is>
          <t>Packaging</t>
        </is>
      </c>
      <c r="D236" s="3" t="inlineStr">
        <is>
          <t>Oneplus</t>
        </is>
      </c>
      <c r="E236" s="3" t="inlineStr">
        <is>
          <t>Smartphone</t>
        </is>
      </c>
      <c r="F236" s="3" t="inlineStr">
        <is>
          <t>OnePlus 13R</t>
        </is>
      </c>
      <c r="G236" s="3" t="inlineStr">
        <is>
          <t>2025-05-11</t>
        </is>
      </c>
      <c r="H236" s="3" t="n">
        <v>1051</v>
      </c>
      <c r="I236" s="3" t="n">
        <v>787</v>
      </c>
      <c r="J236" s="3" t="n">
        <v>71817</v>
      </c>
      <c r="K236" s="3" t="inlineStr">
        <is>
          <t>Shipped</t>
        </is>
      </c>
      <c r="L236" s="3" t="inlineStr">
        <is>
          <t>Completed</t>
        </is>
      </c>
      <c r="M236">
        <f>I236*J236</f>
        <v/>
      </c>
      <c r="N236" s="32">
        <f>ROUND(M236/100000, 0)</f>
        <v/>
      </c>
      <c r="O236">
        <f>H236-I236</f>
        <v/>
      </c>
      <c r="P236">
        <f>TEXT(G236,"mmmm")</f>
        <v/>
      </c>
      <c r="Q236">
        <f>YEAR(G236)</f>
        <v/>
      </c>
    </row>
    <row r="237">
      <c r="A237" s="3" t="n">
        <v>244</v>
      </c>
      <c r="B237" s="3" t="inlineStr">
        <is>
          <t>Bengaluru Plant</t>
        </is>
      </c>
      <c r="C237" s="3" t="inlineStr">
        <is>
          <t>Packaging</t>
        </is>
      </c>
      <c r="D237" s="3" t="inlineStr">
        <is>
          <t>Oneplus</t>
        </is>
      </c>
      <c r="E237" s="3" t="inlineStr">
        <is>
          <t>Smartphone</t>
        </is>
      </c>
      <c r="F237" s="3" t="inlineStr">
        <is>
          <t>OnePlus 13</t>
        </is>
      </c>
      <c r="G237" s="3" t="inlineStr">
        <is>
          <t>2025-12-24</t>
        </is>
      </c>
      <c r="H237" s="3" t="n">
        <v>4779</v>
      </c>
      <c r="I237" s="3" t="n">
        <v>2874</v>
      </c>
      <c r="J237" s="3" t="n">
        <v>112251</v>
      </c>
      <c r="K237" s="3" t="inlineStr">
        <is>
          <t>Shipped</t>
        </is>
      </c>
      <c r="L237" s="3" t="inlineStr">
        <is>
          <t>In Progress</t>
        </is>
      </c>
      <c r="M237">
        <f>I237*J237</f>
        <v/>
      </c>
      <c r="N237" s="32">
        <f>ROUND(M237/100000, 0)</f>
        <v/>
      </c>
      <c r="O237">
        <f>H237-I237</f>
        <v/>
      </c>
      <c r="P237">
        <f>TEXT(G237,"mmmm")</f>
        <v/>
      </c>
      <c r="Q237">
        <f>YEAR(G237)</f>
        <v/>
      </c>
    </row>
    <row r="238">
      <c r="A238" s="3" t="n">
        <v>245</v>
      </c>
      <c r="B238" s="3" t="inlineStr">
        <is>
          <t>Pune Plant</t>
        </is>
      </c>
      <c r="C238" s="3" t="inlineStr">
        <is>
          <t>Packaging</t>
        </is>
      </c>
      <c r="D238" s="3" t="inlineStr">
        <is>
          <t>Oneplus</t>
        </is>
      </c>
      <c r="E238" s="3" t="inlineStr">
        <is>
          <t>Smartphone</t>
        </is>
      </c>
      <c r="F238" s="3" t="inlineStr">
        <is>
          <t>OnePlus 13R</t>
        </is>
      </c>
      <c r="G238" s="3" t="inlineStr">
        <is>
          <t>2025-10-30</t>
        </is>
      </c>
      <c r="H238" s="3" t="n">
        <v>1104</v>
      </c>
      <c r="I238" s="3" t="n">
        <v>980</v>
      </c>
      <c r="J238" s="3" t="n">
        <v>46918</v>
      </c>
      <c r="K238" s="3" t="inlineStr">
        <is>
          <t>Shipped</t>
        </is>
      </c>
      <c r="L238" s="3" t="inlineStr">
        <is>
          <t>In Progress</t>
        </is>
      </c>
      <c r="M238">
        <f>I238*J238</f>
        <v/>
      </c>
      <c r="N238" s="32">
        <f>ROUND(M238/100000, 0)</f>
        <v/>
      </c>
      <c r="O238">
        <f>H238-I238</f>
        <v/>
      </c>
      <c r="P238">
        <f>TEXT(G238,"mmmm")</f>
        <v/>
      </c>
      <c r="Q238">
        <f>YEAR(G238)</f>
        <v/>
      </c>
    </row>
    <row r="239">
      <c r="A239" s="3" t="n">
        <v>246</v>
      </c>
      <c r="B239" s="3" t="inlineStr">
        <is>
          <t>Noida Plant</t>
        </is>
      </c>
      <c r="C239" s="3" t="inlineStr">
        <is>
          <t>Manufacturing</t>
        </is>
      </c>
      <c r="D239" s="3" t="inlineStr">
        <is>
          <t>Oneplus</t>
        </is>
      </c>
      <c r="E239" s="3" t="inlineStr">
        <is>
          <t>Smartphone</t>
        </is>
      </c>
      <c r="F239" s="3" t="inlineStr">
        <is>
          <t>OnePlus 13R</t>
        </is>
      </c>
      <c r="G239" s="3" t="inlineStr">
        <is>
          <t>2025-08-26</t>
        </is>
      </c>
      <c r="H239" s="3" t="n">
        <v>1855</v>
      </c>
      <c r="I239" s="3" t="n">
        <v>1310</v>
      </c>
      <c r="J239" s="3" t="n">
        <v>47829</v>
      </c>
      <c r="K239" s="3" t="inlineStr">
        <is>
          <t>In Transit</t>
        </is>
      </c>
      <c r="L239" s="3" t="inlineStr">
        <is>
          <t>In Progress</t>
        </is>
      </c>
      <c r="M239">
        <f>I239*J239</f>
        <v/>
      </c>
      <c r="N239" s="32">
        <f>ROUND(M239/100000, 0)</f>
        <v/>
      </c>
      <c r="O239">
        <f>H239-I239</f>
        <v/>
      </c>
      <c r="P239">
        <f>TEXT(G239,"mmmm")</f>
        <v/>
      </c>
      <c r="Q239">
        <f>YEAR(G239)</f>
        <v/>
      </c>
    </row>
    <row r="240">
      <c r="A240" s="3" t="n">
        <v>247</v>
      </c>
      <c r="B240" s="3" t="inlineStr">
        <is>
          <t>Noida Plant</t>
        </is>
      </c>
      <c r="C240" s="3" t="inlineStr">
        <is>
          <t>Manufacturing</t>
        </is>
      </c>
      <c r="D240" s="3" t="inlineStr">
        <is>
          <t>Oneplus</t>
        </is>
      </c>
      <c r="E240" s="3" t="inlineStr">
        <is>
          <t>Smartphone</t>
        </is>
      </c>
      <c r="F240" s="3" t="inlineStr">
        <is>
          <t>OnePlus Nord 5</t>
        </is>
      </c>
      <c r="G240" s="3" t="inlineStr">
        <is>
          <t>2025-03-20</t>
        </is>
      </c>
      <c r="H240" s="3" t="n">
        <v>776</v>
      </c>
      <c r="I240" s="3" t="n">
        <v>702</v>
      </c>
      <c r="J240" s="3" t="n">
        <v>65909</v>
      </c>
      <c r="K240" s="3" t="inlineStr">
        <is>
          <t>Pending</t>
        </is>
      </c>
      <c r="L240" s="3" t="inlineStr">
        <is>
          <t>In Progress</t>
        </is>
      </c>
      <c r="M240">
        <f>I240*J240</f>
        <v/>
      </c>
      <c r="N240" s="32">
        <f>ROUND(M240/100000, 0)</f>
        <v/>
      </c>
      <c r="O240">
        <f>H240-I240</f>
        <v/>
      </c>
      <c r="P240">
        <f>TEXT(G240,"mmmm")</f>
        <v/>
      </c>
      <c r="Q240">
        <f>YEAR(G240)</f>
        <v/>
      </c>
    </row>
    <row r="241">
      <c r="A241" s="3" t="n">
        <v>248</v>
      </c>
      <c r="B241" s="3" t="inlineStr">
        <is>
          <t>Pune Plant</t>
        </is>
      </c>
      <c r="C241" s="3" t="inlineStr">
        <is>
          <t>Assembly</t>
        </is>
      </c>
      <c r="D241" s="3" t="inlineStr">
        <is>
          <t>Oneplus</t>
        </is>
      </c>
      <c r="E241" s="3" t="inlineStr">
        <is>
          <t>Smartphone</t>
        </is>
      </c>
      <c r="F241" s="3" t="inlineStr">
        <is>
          <t>OnePlus 13R</t>
        </is>
      </c>
      <c r="G241" s="3" t="inlineStr">
        <is>
          <t>2025-06-12</t>
        </is>
      </c>
      <c r="H241" s="3" t="n">
        <v>2354</v>
      </c>
      <c r="I241" s="3" t="n">
        <v>1457</v>
      </c>
      <c r="J241" s="3" t="n">
        <v>42853</v>
      </c>
      <c r="K241" s="3" t="inlineStr">
        <is>
          <t>In Transit</t>
        </is>
      </c>
      <c r="L241" s="3" t="inlineStr">
        <is>
          <t>In Progress</t>
        </is>
      </c>
      <c r="M241">
        <f>I241*J241</f>
        <v/>
      </c>
      <c r="N241" s="32">
        <f>ROUND(M241/100000, 0)</f>
        <v/>
      </c>
      <c r="O241">
        <f>H241-I241</f>
        <v/>
      </c>
      <c r="P241">
        <f>TEXT(G241,"mmmm")</f>
        <v/>
      </c>
      <c r="Q241">
        <f>YEAR(G241)</f>
        <v/>
      </c>
    </row>
    <row r="242">
      <c r="A242" s="3" t="n">
        <v>249</v>
      </c>
      <c r="B242" s="3" t="inlineStr">
        <is>
          <t>Bengaluru Plant</t>
        </is>
      </c>
      <c r="C242" s="3" t="inlineStr">
        <is>
          <t>Packaging</t>
        </is>
      </c>
      <c r="D242" s="3" t="inlineStr">
        <is>
          <t>Oneplus</t>
        </is>
      </c>
      <c r="E242" s="3" t="inlineStr">
        <is>
          <t>Smartphone</t>
        </is>
      </c>
      <c r="F242" s="3" t="inlineStr">
        <is>
          <t>OnePlus Nord 5</t>
        </is>
      </c>
      <c r="G242" s="3" t="inlineStr">
        <is>
          <t>2025-03-13</t>
        </is>
      </c>
      <c r="H242" s="3" t="n">
        <v>2132</v>
      </c>
      <c r="I242" s="3" t="n">
        <v>1510</v>
      </c>
      <c r="J242" s="3" t="n">
        <v>60334</v>
      </c>
      <c r="K242" s="3" t="inlineStr">
        <is>
          <t>Pending</t>
        </is>
      </c>
      <c r="L242" s="3" t="inlineStr">
        <is>
          <t>In Progress</t>
        </is>
      </c>
      <c r="M242">
        <f>I242*J242</f>
        <v/>
      </c>
      <c r="N242" s="32">
        <f>ROUND(M242/100000, 0)</f>
        <v/>
      </c>
      <c r="O242">
        <f>H242-I242</f>
        <v/>
      </c>
      <c r="P242">
        <f>TEXT(G242,"mmmm")</f>
        <v/>
      </c>
      <c r="Q242">
        <f>YEAR(G242)</f>
        <v/>
      </c>
    </row>
    <row r="243">
      <c r="A243" s="3" t="n">
        <v>250</v>
      </c>
      <c r="B243" s="3" t="inlineStr">
        <is>
          <t>Bengaluru Plant</t>
        </is>
      </c>
      <c r="C243" s="3" t="inlineStr">
        <is>
          <t>Packaging</t>
        </is>
      </c>
      <c r="D243" s="3" t="inlineStr">
        <is>
          <t>Oneplus</t>
        </is>
      </c>
      <c r="E243" s="3" t="inlineStr">
        <is>
          <t>Smartphone</t>
        </is>
      </c>
      <c r="F243" s="3" t="inlineStr">
        <is>
          <t>OnePlus Nord 5</t>
        </is>
      </c>
      <c r="G243" s="3" t="inlineStr">
        <is>
          <t>2025-02-28</t>
        </is>
      </c>
      <c r="H243" s="3" t="n">
        <v>2308</v>
      </c>
      <c r="I243" s="3" t="n">
        <v>1857</v>
      </c>
      <c r="J243" s="3" t="n">
        <v>76781</v>
      </c>
      <c r="K243" s="3" t="inlineStr">
        <is>
          <t>Pending</t>
        </is>
      </c>
      <c r="L243" s="3" t="inlineStr">
        <is>
          <t>Completed</t>
        </is>
      </c>
      <c r="M243">
        <f>I243*J243</f>
        <v/>
      </c>
      <c r="N243" s="32">
        <f>ROUND(M243/100000, 0)</f>
        <v/>
      </c>
      <c r="O243">
        <f>H243-I243</f>
        <v/>
      </c>
      <c r="P243">
        <f>TEXT(G243,"mmmm")</f>
        <v/>
      </c>
      <c r="Q243">
        <f>YEAR(G243)</f>
        <v/>
      </c>
    </row>
    <row r="244">
      <c r="A244" s="3" t="n">
        <v>251</v>
      </c>
      <c r="B244" s="3" t="inlineStr">
        <is>
          <t>Sriperumbudur Plant</t>
        </is>
      </c>
      <c r="C244" s="3" t="inlineStr">
        <is>
          <t>Packaging</t>
        </is>
      </c>
      <c r="D244" s="3" t="inlineStr">
        <is>
          <t>Oneplus</t>
        </is>
      </c>
      <c r="E244" s="3" t="inlineStr">
        <is>
          <t>Smartphone</t>
        </is>
      </c>
      <c r="F244" s="3" t="inlineStr">
        <is>
          <t>OnePlus 13</t>
        </is>
      </c>
      <c r="G244" s="3" t="inlineStr">
        <is>
          <t>2025-12-07</t>
        </is>
      </c>
      <c r="H244" s="3" t="n">
        <v>3459</v>
      </c>
      <c r="I244" s="3" t="n">
        <v>2219</v>
      </c>
      <c r="J244" s="3" t="n">
        <v>79811</v>
      </c>
      <c r="K244" s="3" t="inlineStr">
        <is>
          <t>Pending</t>
        </is>
      </c>
      <c r="L244" s="3" t="inlineStr">
        <is>
          <t>Completed</t>
        </is>
      </c>
      <c r="M244">
        <f>I244*J244</f>
        <v/>
      </c>
      <c r="N244" s="32">
        <f>ROUND(M244/100000, 0)</f>
        <v/>
      </c>
      <c r="O244">
        <f>H244-I244</f>
        <v/>
      </c>
      <c r="P244">
        <f>TEXT(G244,"mmmm")</f>
        <v/>
      </c>
      <c r="Q244">
        <f>YEAR(G244)</f>
        <v/>
      </c>
    </row>
    <row r="245">
      <c r="A245" s="3" t="n">
        <v>252</v>
      </c>
      <c r="B245" s="3" t="inlineStr">
        <is>
          <t>Pune Plant</t>
        </is>
      </c>
      <c r="C245" s="3" t="inlineStr">
        <is>
          <t>Manufacturing</t>
        </is>
      </c>
      <c r="D245" s="3" t="inlineStr">
        <is>
          <t>Oneplus</t>
        </is>
      </c>
      <c r="E245" s="3" t="inlineStr">
        <is>
          <t>Smartphone</t>
        </is>
      </c>
      <c r="F245" s="3" t="inlineStr">
        <is>
          <t>OnePlus 13</t>
        </is>
      </c>
      <c r="G245" s="3" t="inlineStr">
        <is>
          <t>2025-06-22</t>
        </is>
      </c>
      <c r="H245" s="3" t="n">
        <v>3144</v>
      </c>
      <c r="I245" s="3" t="n">
        <v>2576</v>
      </c>
      <c r="J245" s="3" t="n">
        <v>55085</v>
      </c>
      <c r="K245" s="3" t="inlineStr">
        <is>
          <t>In Transit</t>
        </is>
      </c>
      <c r="L245" s="3" t="inlineStr">
        <is>
          <t>In Progress</t>
        </is>
      </c>
      <c r="M245">
        <f>I245*J245</f>
        <v/>
      </c>
      <c r="N245" s="32">
        <f>ROUND(M245/100000, 0)</f>
        <v/>
      </c>
      <c r="O245">
        <f>H245-I245</f>
        <v/>
      </c>
      <c r="P245">
        <f>TEXT(G245,"mmmm")</f>
        <v/>
      </c>
      <c r="Q245">
        <f>YEAR(G245)</f>
        <v/>
      </c>
    </row>
    <row r="246">
      <c r="A246" s="3" t="n">
        <v>253</v>
      </c>
      <c r="B246" s="3" t="inlineStr">
        <is>
          <t>Chennai Plant</t>
        </is>
      </c>
      <c r="C246" s="3" t="inlineStr">
        <is>
          <t>Testing</t>
        </is>
      </c>
      <c r="D246" s="3" t="inlineStr">
        <is>
          <t>Oneplus</t>
        </is>
      </c>
      <c r="E246" s="3" t="inlineStr">
        <is>
          <t>Smartphone</t>
        </is>
      </c>
      <c r="F246" s="3" t="inlineStr">
        <is>
          <t>OnePlus 13</t>
        </is>
      </c>
      <c r="G246" s="3" t="inlineStr">
        <is>
          <t>2025-01-16</t>
        </is>
      </c>
      <c r="H246" s="3" t="n">
        <v>1842</v>
      </c>
      <c r="I246" s="3" t="n">
        <v>1786</v>
      </c>
      <c r="J246" s="3" t="n">
        <v>16671</v>
      </c>
      <c r="K246" s="3" t="inlineStr">
        <is>
          <t>Pending</t>
        </is>
      </c>
      <c r="L246" s="3" t="inlineStr">
        <is>
          <t>In Progress</t>
        </is>
      </c>
      <c r="M246">
        <f>I246*J246</f>
        <v/>
      </c>
      <c r="N246" s="32">
        <f>ROUND(M246/100000, 0)</f>
        <v/>
      </c>
      <c r="O246">
        <f>H246-I246</f>
        <v/>
      </c>
      <c r="P246">
        <f>TEXT(G246,"mmmm")</f>
        <v/>
      </c>
      <c r="Q246">
        <f>YEAR(G246)</f>
        <v/>
      </c>
    </row>
    <row r="247">
      <c r="A247" s="3" t="n">
        <v>254</v>
      </c>
      <c r="B247" s="3" t="inlineStr">
        <is>
          <t>Sriperumbudur Plant</t>
        </is>
      </c>
      <c r="C247" s="3" t="inlineStr">
        <is>
          <t>Assembly</t>
        </is>
      </c>
      <c r="D247" s="3" t="inlineStr">
        <is>
          <t>Oneplus</t>
        </is>
      </c>
      <c r="E247" s="3" t="inlineStr">
        <is>
          <t>Smartphone</t>
        </is>
      </c>
      <c r="F247" s="3" t="inlineStr">
        <is>
          <t>OnePlus 13</t>
        </is>
      </c>
      <c r="G247" s="3" t="inlineStr">
        <is>
          <t>2025-06-17</t>
        </is>
      </c>
      <c r="H247" s="3" t="n">
        <v>4583</v>
      </c>
      <c r="I247" s="3" t="n">
        <v>2769</v>
      </c>
      <c r="J247" s="3" t="n">
        <v>75830</v>
      </c>
      <c r="K247" s="3" t="inlineStr">
        <is>
          <t>Pending</t>
        </is>
      </c>
      <c r="L247" s="3" t="inlineStr">
        <is>
          <t>In Progress</t>
        </is>
      </c>
      <c r="M247">
        <f>I247*J247</f>
        <v/>
      </c>
      <c r="N247" s="32">
        <f>ROUND(M247/100000, 0)</f>
        <v/>
      </c>
      <c r="O247">
        <f>H247-I247</f>
        <v/>
      </c>
      <c r="P247">
        <f>TEXT(G247,"mmmm")</f>
        <v/>
      </c>
      <c r="Q247">
        <f>YEAR(G247)</f>
        <v/>
      </c>
    </row>
    <row r="248">
      <c r="A248" s="3" t="n">
        <v>255</v>
      </c>
      <c r="B248" s="3" t="inlineStr">
        <is>
          <t>Bengaluru Plant</t>
        </is>
      </c>
      <c r="C248" s="3" t="inlineStr">
        <is>
          <t>Packaging</t>
        </is>
      </c>
      <c r="D248" s="3" t="inlineStr">
        <is>
          <t>Oneplus</t>
        </is>
      </c>
      <c r="E248" s="3" t="inlineStr">
        <is>
          <t>Smartphone</t>
        </is>
      </c>
      <c r="F248" s="3" t="inlineStr">
        <is>
          <t>OnePlus 13R</t>
        </is>
      </c>
      <c r="G248" s="3" t="inlineStr">
        <is>
          <t>2025-12-10</t>
        </is>
      </c>
      <c r="H248" s="3" t="n">
        <v>2785</v>
      </c>
      <c r="I248" s="3" t="n">
        <v>1969</v>
      </c>
      <c r="J248" s="3" t="n">
        <v>96984</v>
      </c>
      <c r="K248" s="3" t="inlineStr">
        <is>
          <t>Pending</t>
        </is>
      </c>
      <c r="L248" s="3" t="inlineStr">
        <is>
          <t>Completed</t>
        </is>
      </c>
      <c r="M248">
        <f>I248*J248</f>
        <v/>
      </c>
      <c r="N248" s="32">
        <f>ROUND(M248/100000, 0)</f>
        <v/>
      </c>
      <c r="O248">
        <f>H248-I248</f>
        <v/>
      </c>
      <c r="P248">
        <f>TEXT(G248,"mmmm")</f>
        <v/>
      </c>
      <c r="Q248">
        <f>YEAR(G248)</f>
        <v/>
      </c>
    </row>
    <row r="249">
      <c r="A249" s="3" t="n">
        <v>256</v>
      </c>
      <c r="B249" s="3" t="inlineStr">
        <is>
          <t>Noida Plant</t>
        </is>
      </c>
      <c r="C249" s="3" t="inlineStr">
        <is>
          <t>Packaging</t>
        </is>
      </c>
      <c r="D249" s="3" t="inlineStr">
        <is>
          <t>Oneplus</t>
        </is>
      </c>
      <c r="E249" s="3" t="inlineStr">
        <is>
          <t>Smartphone</t>
        </is>
      </c>
      <c r="F249" s="3" t="inlineStr">
        <is>
          <t>OnePlus 13R</t>
        </is>
      </c>
      <c r="G249" s="3" t="inlineStr">
        <is>
          <t>2025-07-02</t>
        </is>
      </c>
      <c r="H249" s="3" t="n">
        <v>1498</v>
      </c>
      <c r="I249" s="3" t="n">
        <v>1222</v>
      </c>
      <c r="J249" s="3" t="n">
        <v>52980</v>
      </c>
      <c r="K249" s="3" t="inlineStr">
        <is>
          <t>In Transit</t>
        </is>
      </c>
      <c r="L249" s="3" t="inlineStr">
        <is>
          <t>Completed</t>
        </is>
      </c>
      <c r="M249">
        <f>I249*J249</f>
        <v/>
      </c>
      <c r="N249" s="32">
        <f>ROUND(M249/100000, 0)</f>
        <v/>
      </c>
      <c r="O249">
        <f>H249-I249</f>
        <v/>
      </c>
      <c r="P249">
        <f>TEXT(G249,"mmmm")</f>
        <v/>
      </c>
      <c r="Q249">
        <f>YEAR(G249)</f>
        <v/>
      </c>
    </row>
    <row r="250">
      <c r="A250" s="3" t="n">
        <v>257</v>
      </c>
      <c r="B250" s="3" t="inlineStr">
        <is>
          <t>Sriperumbudur Plant</t>
        </is>
      </c>
      <c r="C250" s="3" t="inlineStr">
        <is>
          <t>Manufacturing</t>
        </is>
      </c>
      <c r="D250" s="3" t="inlineStr">
        <is>
          <t>Oneplus</t>
        </is>
      </c>
      <c r="E250" s="3" t="inlineStr">
        <is>
          <t>Smartphone</t>
        </is>
      </c>
      <c r="F250" s="3" t="inlineStr">
        <is>
          <t>OnePlus 13R</t>
        </is>
      </c>
      <c r="G250" s="3" t="inlineStr">
        <is>
          <t>2025-08-04</t>
        </is>
      </c>
      <c r="H250" s="3" t="n">
        <v>3999</v>
      </c>
      <c r="I250" s="3" t="n">
        <v>3387</v>
      </c>
      <c r="J250" s="3" t="n">
        <v>113052</v>
      </c>
      <c r="K250" s="3" t="inlineStr">
        <is>
          <t>In Transit</t>
        </is>
      </c>
      <c r="L250" s="3" t="inlineStr">
        <is>
          <t>In Progress</t>
        </is>
      </c>
      <c r="M250">
        <f>I250*J250</f>
        <v/>
      </c>
      <c r="N250" s="32">
        <f>ROUND(M250/100000, 0)</f>
        <v/>
      </c>
      <c r="O250">
        <f>H250-I250</f>
        <v/>
      </c>
      <c r="P250">
        <f>TEXT(G250,"mmmm")</f>
        <v/>
      </c>
      <c r="Q250">
        <f>YEAR(G250)</f>
        <v/>
      </c>
    </row>
    <row r="251">
      <c r="A251" s="3" t="n">
        <v>258</v>
      </c>
      <c r="B251" s="3" t="inlineStr">
        <is>
          <t>Noida Plant</t>
        </is>
      </c>
      <c r="C251" s="3" t="inlineStr">
        <is>
          <t>Assembly</t>
        </is>
      </c>
      <c r="D251" s="3" t="inlineStr">
        <is>
          <t>Oneplus</t>
        </is>
      </c>
      <c r="E251" s="3" t="inlineStr">
        <is>
          <t>Smartphone</t>
        </is>
      </c>
      <c r="F251" s="3" t="inlineStr">
        <is>
          <t>OnePlus Nord 5</t>
        </is>
      </c>
      <c r="G251" s="3" t="inlineStr">
        <is>
          <t>2025-07-18</t>
        </is>
      </c>
      <c r="H251" s="3" t="n">
        <v>3063</v>
      </c>
      <c r="I251" s="3" t="n">
        <v>2297</v>
      </c>
      <c r="J251" s="3" t="n">
        <v>90535</v>
      </c>
      <c r="K251" s="3" t="inlineStr">
        <is>
          <t>In Transit</t>
        </is>
      </c>
      <c r="L251" s="3" t="inlineStr">
        <is>
          <t>In Progress</t>
        </is>
      </c>
      <c r="M251">
        <f>I251*J251</f>
        <v/>
      </c>
      <c r="N251" s="32">
        <f>ROUND(M251/100000, 0)</f>
        <v/>
      </c>
      <c r="O251">
        <f>H251-I251</f>
        <v/>
      </c>
      <c r="P251">
        <f>TEXT(G251,"mmmm")</f>
        <v/>
      </c>
      <c r="Q251">
        <f>YEAR(G251)</f>
        <v/>
      </c>
    </row>
    <row r="252">
      <c r="A252" s="3" t="n">
        <v>260</v>
      </c>
      <c r="B252" s="3" t="inlineStr">
        <is>
          <t>Pune Plant</t>
        </is>
      </c>
      <c r="C252" s="3" t="inlineStr">
        <is>
          <t>Manufacturing</t>
        </is>
      </c>
      <c r="D252" s="3" t="inlineStr">
        <is>
          <t>Oneplus</t>
        </is>
      </c>
      <c r="E252" s="3" t="inlineStr">
        <is>
          <t>Smartphone</t>
        </is>
      </c>
      <c r="F252" s="3" t="inlineStr">
        <is>
          <t>OnePlus 13</t>
        </is>
      </c>
      <c r="G252" s="3" t="inlineStr">
        <is>
          <t>2025-07-22</t>
        </is>
      </c>
      <c r="H252" s="3" t="n">
        <v>1976</v>
      </c>
      <c r="I252" s="3" t="n">
        <v>1336</v>
      </c>
      <c r="J252" s="3" t="n">
        <v>44209</v>
      </c>
      <c r="K252" s="3" t="inlineStr">
        <is>
          <t>Pending</t>
        </is>
      </c>
      <c r="L252" s="3" t="inlineStr">
        <is>
          <t>In Progress</t>
        </is>
      </c>
      <c r="M252">
        <f>I252*J252</f>
        <v/>
      </c>
      <c r="N252" s="32">
        <f>ROUND(M252/100000, 0)</f>
        <v/>
      </c>
      <c r="O252">
        <f>H252-I252</f>
        <v/>
      </c>
      <c r="P252">
        <f>TEXT(G252,"mmmm")</f>
        <v/>
      </c>
      <c r="Q252">
        <f>YEAR(G252)</f>
        <v/>
      </c>
    </row>
    <row r="253">
      <c r="A253" s="3" t="n">
        <v>261</v>
      </c>
      <c r="B253" s="3" t="inlineStr">
        <is>
          <t>Noida Plant</t>
        </is>
      </c>
      <c r="C253" s="3" t="inlineStr">
        <is>
          <t>Manufacturing</t>
        </is>
      </c>
      <c r="D253" s="3" t="inlineStr">
        <is>
          <t>Oneplus</t>
        </is>
      </c>
      <c r="E253" s="3" t="inlineStr">
        <is>
          <t>Smartphone</t>
        </is>
      </c>
      <c r="F253" s="3" t="inlineStr">
        <is>
          <t>OnePlus 13</t>
        </is>
      </c>
      <c r="G253" s="3" t="inlineStr">
        <is>
          <t>2025-05-28</t>
        </is>
      </c>
      <c r="H253" s="3" t="n">
        <v>2780</v>
      </c>
      <c r="I253" s="3" t="n">
        <v>2239</v>
      </c>
      <c r="J253" s="3" t="n">
        <v>51453</v>
      </c>
      <c r="K253" s="3" t="inlineStr">
        <is>
          <t>In Transit</t>
        </is>
      </c>
      <c r="L253" s="3" t="inlineStr">
        <is>
          <t>Completed</t>
        </is>
      </c>
      <c r="M253">
        <f>I253*J253</f>
        <v/>
      </c>
      <c r="N253" s="32">
        <f>ROUND(M253/100000, 0)</f>
        <v/>
      </c>
      <c r="O253">
        <f>H253-I253</f>
        <v/>
      </c>
      <c r="P253">
        <f>TEXT(G253,"mmmm")</f>
        <v/>
      </c>
      <c r="Q253">
        <f>YEAR(G253)</f>
        <v/>
      </c>
    </row>
    <row r="254">
      <c r="A254" s="3" t="n">
        <v>262</v>
      </c>
      <c r="B254" s="3" t="inlineStr">
        <is>
          <t>Noida Plant</t>
        </is>
      </c>
      <c r="C254" s="3" t="inlineStr">
        <is>
          <t>Testing</t>
        </is>
      </c>
      <c r="D254" s="3" t="inlineStr">
        <is>
          <t>Oneplus</t>
        </is>
      </c>
      <c r="E254" s="3" t="inlineStr">
        <is>
          <t>Smartphone</t>
        </is>
      </c>
      <c r="F254" s="3" t="inlineStr">
        <is>
          <t>OnePlus Nord 5</t>
        </is>
      </c>
      <c r="G254" s="3" t="inlineStr">
        <is>
          <t>2025-11-26</t>
        </is>
      </c>
      <c r="H254" s="3" t="n">
        <v>777</v>
      </c>
      <c r="I254" s="3" t="n">
        <v>636</v>
      </c>
      <c r="J254" s="3" t="n">
        <v>81058</v>
      </c>
      <c r="K254" s="3" t="inlineStr">
        <is>
          <t>Shipped</t>
        </is>
      </c>
      <c r="L254" s="3" t="inlineStr">
        <is>
          <t>In Progress</t>
        </is>
      </c>
      <c r="M254">
        <f>I254*J254</f>
        <v/>
      </c>
      <c r="N254" s="32">
        <f>ROUND(M254/100000, 0)</f>
        <v/>
      </c>
      <c r="O254">
        <f>H254-I254</f>
        <v/>
      </c>
      <c r="P254">
        <f>TEXT(G254,"mmmm")</f>
        <v/>
      </c>
      <c r="Q254">
        <f>YEAR(G254)</f>
        <v/>
      </c>
    </row>
    <row r="255">
      <c r="A255" s="3" t="n">
        <v>263</v>
      </c>
      <c r="B255" s="3" t="inlineStr">
        <is>
          <t>Chennai Plant</t>
        </is>
      </c>
      <c r="C255" s="3" t="inlineStr">
        <is>
          <t>Testing</t>
        </is>
      </c>
      <c r="D255" s="3" t="inlineStr">
        <is>
          <t>Oneplus</t>
        </is>
      </c>
      <c r="E255" s="3" t="inlineStr">
        <is>
          <t>Smartphone</t>
        </is>
      </c>
      <c r="F255" s="3" t="inlineStr">
        <is>
          <t>OnePlus Nord 5</t>
        </is>
      </c>
      <c r="G255" s="3" t="inlineStr">
        <is>
          <t>2025-11-16</t>
        </is>
      </c>
      <c r="H255" s="3" t="n">
        <v>3568</v>
      </c>
      <c r="I255" s="3" t="n">
        <v>2756</v>
      </c>
      <c r="J255" s="3" t="n">
        <v>57060</v>
      </c>
      <c r="K255" s="3" t="inlineStr">
        <is>
          <t>Shipped</t>
        </is>
      </c>
      <c r="L255" s="3" t="inlineStr">
        <is>
          <t>In Progress</t>
        </is>
      </c>
      <c r="M255">
        <f>I255*J255</f>
        <v/>
      </c>
      <c r="N255" s="32">
        <f>ROUND(M255/100000, 0)</f>
        <v/>
      </c>
      <c r="O255">
        <f>H255-I255</f>
        <v/>
      </c>
      <c r="P255">
        <f>TEXT(G255,"mmmm")</f>
        <v/>
      </c>
      <c r="Q255">
        <f>YEAR(G255)</f>
        <v/>
      </c>
    </row>
    <row r="256">
      <c r="A256" s="3" t="n">
        <v>264</v>
      </c>
      <c r="B256" s="3" t="inlineStr">
        <is>
          <t>Bengaluru Plant</t>
        </is>
      </c>
      <c r="C256" s="3" t="inlineStr">
        <is>
          <t>Testing</t>
        </is>
      </c>
      <c r="D256" s="3" t="inlineStr">
        <is>
          <t>Oneplus</t>
        </is>
      </c>
      <c r="E256" s="3" t="inlineStr">
        <is>
          <t>Smartphone</t>
        </is>
      </c>
      <c r="F256" s="3" t="inlineStr">
        <is>
          <t>OnePlus 13</t>
        </is>
      </c>
      <c r="G256" s="3" t="inlineStr">
        <is>
          <t>2025-05-18</t>
        </is>
      </c>
      <c r="H256" s="3" t="n">
        <v>3887</v>
      </c>
      <c r="I256" s="3" t="n">
        <v>3097</v>
      </c>
      <c r="J256" s="3" t="n">
        <v>45171</v>
      </c>
      <c r="K256" s="3" t="inlineStr">
        <is>
          <t>Shipped</t>
        </is>
      </c>
      <c r="L256" s="3" t="inlineStr">
        <is>
          <t>In Progress</t>
        </is>
      </c>
      <c r="M256">
        <f>I256*J256</f>
        <v/>
      </c>
      <c r="N256" s="32">
        <f>ROUND(M256/100000, 0)</f>
        <v/>
      </c>
      <c r="O256">
        <f>H256-I256</f>
        <v/>
      </c>
      <c r="P256">
        <f>TEXT(G256,"mmmm")</f>
        <v/>
      </c>
      <c r="Q256">
        <f>YEAR(G256)</f>
        <v/>
      </c>
    </row>
    <row r="257">
      <c r="A257" s="3" t="n">
        <v>265</v>
      </c>
      <c r="B257" s="3" t="inlineStr">
        <is>
          <t>Pune Plant</t>
        </is>
      </c>
      <c r="C257" s="3" t="inlineStr">
        <is>
          <t>Manufacturing</t>
        </is>
      </c>
      <c r="D257" s="3" t="inlineStr">
        <is>
          <t>Oneplus</t>
        </is>
      </c>
      <c r="E257" s="3" t="inlineStr">
        <is>
          <t>Smartphone</t>
        </is>
      </c>
      <c r="F257" s="3" t="inlineStr">
        <is>
          <t>OnePlus Nord 5</t>
        </is>
      </c>
      <c r="G257" s="3" t="inlineStr">
        <is>
          <t>2025-10-28</t>
        </is>
      </c>
      <c r="H257" s="3" t="n">
        <v>4153</v>
      </c>
      <c r="I257" s="3" t="n">
        <v>3857</v>
      </c>
      <c r="J257" s="3" t="n">
        <v>66208</v>
      </c>
      <c r="K257" s="3" t="inlineStr">
        <is>
          <t>In Transit</t>
        </is>
      </c>
      <c r="L257" s="3" t="inlineStr">
        <is>
          <t>Completed</t>
        </is>
      </c>
      <c r="M257">
        <f>I257*J257</f>
        <v/>
      </c>
      <c r="N257" s="32">
        <f>ROUND(M257/100000, 0)</f>
        <v/>
      </c>
      <c r="O257">
        <f>H257-I257</f>
        <v/>
      </c>
      <c r="P257">
        <f>TEXT(G257,"mmmm")</f>
        <v/>
      </c>
      <c r="Q257">
        <f>YEAR(G257)</f>
        <v/>
      </c>
    </row>
    <row r="258">
      <c r="A258" s="3" t="n">
        <v>266</v>
      </c>
      <c r="B258" s="3" t="inlineStr">
        <is>
          <t>Pune Plant</t>
        </is>
      </c>
      <c r="C258" s="3" t="inlineStr">
        <is>
          <t>Packaging</t>
        </is>
      </c>
      <c r="D258" s="3" t="inlineStr">
        <is>
          <t>Oneplus</t>
        </is>
      </c>
      <c r="E258" s="3" t="inlineStr">
        <is>
          <t>Smartphone</t>
        </is>
      </c>
      <c r="F258" s="3" t="inlineStr">
        <is>
          <t>OnePlus 13</t>
        </is>
      </c>
      <c r="G258" s="3" t="inlineStr">
        <is>
          <t>2025-08-20</t>
        </is>
      </c>
      <c r="H258" s="3" t="n">
        <v>4610</v>
      </c>
      <c r="I258" s="3" t="n">
        <v>3506</v>
      </c>
      <c r="J258" s="3" t="n">
        <v>103246</v>
      </c>
      <c r="K258" s="3" t="inlineStr">
        <is>
          <t>In Transit</t>
        </is>
      </c>
      <c r="L258" s="3" t="inlineStr">
        <is>
          <t>Completed</t>
        </is>
      </c>
      <c r="M258">
        <f>I258*J258</f>
        <v/>
      </c>
      <c r="N258" s="32">
        <f>ROUND(M258/100000, 0)</f>
        <v/>
      </c>
      <c r="O258">
        <f>H258-I258</f>
        <v/>
      </c>
      <c r="P258">
        <f>TEXT(G258,"mmmm")</f>
        <v/>
      </c>
      <c r="Q258">
        <f>YEAR(G258)</f>
        <v/>
      </c>
    </row>
    <row r="259">
      <c r="A259" s="3" t="n">
        <v>267</v>
      </c>
      <c r="B259" s="3" t="inlineStr">
        <is>
          <t>Bengaluru Plant</t>
        </is>
      </c>
      <c r="C259" s="3" t="inlineStr">
        <is>
          <t>Manufacturing</t>
        </is>
      </c>
      <c r="D259" s="3" t="inlineStr">
        <is>
          <t>Oneplus</t>
        </is>
      </c>
      <c r="E259" s="3" t="inlineStr">
        <is>
          <t>Smartphone</t>
        </is>
      </c>
      <c r="F259" s="3" t="inlineStr">
        <is>
          <t>OnePlus 13R</t>
        </is>
      </c>
      <c r="G259" s="3" t="inlineStr">
        <is>
          <t>2025-01-01</t>
        </is>
      </c>
      <c r="H259" s="3" t="n">
        <v>2895</v>
      </c>
      <c r="I259" s="3" t="n">
        <v>1991</v>
      </c>
      <c r="J259" s="3" t="n">
        <v>77025</v>
      </c>
      <c r="K259" s="3" t="inlineStr">
        <is>
          <t>In Transit</t>
        </is>
      </c>
      <c r="L259" s="3" t="inlineStr">
        <is>
          <t>In Progress</t>
        </is>
      </c>
      <c r="M259">
        <f>I259*J259</f>
        <v/>
      </c>
      <c r="N259" s="32">
        <f>ROUND(M259/100000, 0)</f>
        <v/>
      </c>
      <c r="O259">
        <f>H259-I259</f>
        <v/>
      </c>
      <c r="P259">
        <f>TEXT(G259,"mmmm")</f>
        <v/>
      </c>
      <c r="Q259">
        <f>YEAR(G259)</f>
        <v/>
      </c>
    </row>
    <row r="260">
      <c r="A260" s="3" t="n">
        <v>268</v>
      </c>
      <c r="B260" s="3" t="inlineStr">
        <is>
          <t>Noida Plant</t>
        </is>
      </c>
      <c r="C260" s="3" t="inlineStr">
        <is>
          <t>Packaging</t>
        </is>
      </c>
      <c r="D260" s="3" t="inlineStr">
        <is>
          <t>Oneplus</t>
        </is>
      </c>
      <c r="E260" s="3" t="inlineStr">
        <is>
          <t>Smartphone</t>
        </is>
      </c>
      <c r="F260" s="3" t="inlineStr">
        <is>
          <t>OnePlus 13R</t>
        </is>
      </c>
      <c r="G260" s="3" t="inlineStr">
        <is>
          <t>2025-02-23</t>
        </is>
      </c>
      <c r="H260" s="3" t="n">
        <v>1732</v>
      </c>
      <c r="I260" s="3" t="n">
        <v>1347</v>
      </c>
      <c r="J260" s="3" t="n">
        <v>61454</v>
      </c>
      <c r="K260" s="3" t="inlineStr">
        <is>
          <t>In Transit</t>
        </is>
      </c>
      <c r="L260" s="3" t="inlineStr">
        <is>
          <t>Completed</t>
        </is>
      </c>
      <c r="M260">
        <f>I260*J260</f>
        <v/>
      </c>
      <c r="N260" s="32">
        <f>ROUND(M260/100000, 0)</f>
        <v/>
      </c>
      <c r="O260">
        <f>H260-I260</f>
        <v/>
      </c>
      <c r="P260">
        <f>TEXT(G260,"mmmm")</f>
        <v/>
      </c>
      <c r="Q260">
        <f>YEAR(G260)</f>
        <v/>
      </c>
    </row>
    <row r="261">
      <c r="A261" s="3" t="n">
        <v>269</v>
      </c>
      <c r="B261" s="3" t="inlineStr">
        <is>
          <t>Bengaluru Plant</t>
        </is>
      </c>
      <c r="C261" s="3" t="inlineStr">
        <is>
          <t>Manufacturing</t>
        </is>
      </c>
      <c r="D261" s="3" t="inlineStr">
        <is>
          <t>Oneplus</t>
        </is>
      </c>
      <c r="E261" s="3" t="inlineStr">
        <is>
          <t>Smartphone</t>
        </is>
      </c>
      <c r="F261" s="3" t="inlineStr">
        <is>
          <t>OnePlus 13R</t>
        </is>
      </c>
      <c r="G261" s="3" t="inlineStr">
        <is>
          <t>2025-05-27</t>
        </is>
      </c>
      <c r="H261" s="3" t="n">
        <v>1433</v>
      </c>
      <c r="I261" s="3" t="n">
        <v>1088</v>
      </c>
      <c r="J261" s="3" t="n">
        <v>13503</v>
      </c>
      <c r="K261" s="3" t="inlineStr">
        <is>
          <t>Pending</t>
        </is>
      </c>
      <c r="L261" s="3" t="inlineStr">
        <is>
          <t>Completed</t>
        </is>
      </c>
      <c r="M261">
        <f>I261*J261</f>
        <v/>
      </c>
      <c r="N261" s="32">
        <f>ROUND(M261/100000, 0)</f>
        <v/>
      </c>
      <c r="O261">
        <f>H261-I261</f>
        <v/>
      </c>
      <c r="P261">
        <f>TEXT(G261,"mmmm")</f>
        <v/>
      </c>
      <c r="Q261">
        <f>YEAR(G261)</f>
        <v/>
      </c>
    </row>
    <row r="262">
      <c r="A262" s="3" t="n">
        <v>270</v>
      </c>
      <c r="B262" s="3" t="inlineStr">
        <is>
          <t>Bengaluru Plant</t>
        </is>
      </c>
      <c r="C262" s="3" t="inlineStr">
        <is>
          <t>Testing</t>
        </is>
      </c>
      <c r="D262" s="3" t="inlineStr">
        <is>
          <t>Oneplus</t>
        </is>
      </c>
      <c r="E262" s="3" t="inlineStr">
        <is>
          <t>Smartphone</t>
        </is>
      </c>
      <c r="F262" s="3" t="inlineStr">
        <is>
          <t>OnePlus Nord 5</t>
        </is>
      </c>
      <c r="G262" s="3" t="inlineStr">
        <is>
          <t>2025-09-07</t>
        </is>
      </c>
      <c r="H262" s="3" t="n">
        <v>2725</v>
      </c>
      <c r="I262" s="3" t="n">
        <v>1709</v>
      </c>
      <c r="J262" s="3" t="n">
        <v>50916</v>
      </c>
      <c r="K262" s="3" t="inlineStr">
        <is>
          <t>In Transit</t>
        </is>
      </c>
      <c r="L262" s="3" t="inlineStr">
        <is>
          <t>Completed</t>
        </is>
      </c>
      <c r="M262">
        <f>I262*J262</f>
        <v/>
      </c>
      <c r="N262" s="32">
        <f>ROUND(M262/100000, 0)</f>
        <v/>
      </c>
      <c r="O262">
        <f>H262-I262</f>
        <v/>
      </c>
      <c r="P262">
        <f>TEXT(G262,"mmmm")</f>
        <v/>
      </c>
      <c r="Q262">
        <f>YEAR(G262)</f>
        <v/>
      </c>
    </row>
    <row r="263">
      <c r="A263" s="3" t="n">
        <v>271</v>
      </c>
      <c r="B263" s="3" t="inlineStr">
        <is>
          <t>Noida Plant</t>
        </is>
      </c>
      <c r="C263" s="3" t="inlineStr">
        <is>
          <t>Manufacturing</t>
        </is>
      </c>
      <c r="D263" s="3" t="inlineStr">
        <is>
          <t>Oneplus</t>
        </is>
      </c>
      <c r="E263" s="3" t="inlineStr">
        <is>
          <t>Smartphone</t>
        </is>
      </c>
      <c r="F263" s="3" t="inlineStr">
        <is>
          <t>OnePlus 13R</t>
        </is>
      </c>
      <c r="G263" s="3" t="inlineStr">
        <is>
          <t>2025-10-12</t>
        </is>
      </c>
      <c r="H263" s="3" t="n">
        <v>4819</v>
      </c>
      <c r="I263" s="3" t="n">
        <v>4260</v>
      </c>
      <c r="J263" s="3" t="n">
        <v>97197</v>
      </c>
      <c r="K263" s="3" t="inlineStr">
        <is>
          <t>Shipped</t>
        </is>
      </c>
      <c r="L263" s="3" t="inlineStr">
        <is>
          <t>Completed</t>
        </is>
      </c>
      <c r="M263">
        <f>I263*J263</f>
        <v/>
      </c>
      <c r="N263" s="32">
        <f>ROUND(M263/100000, 0)</f>
        <v/>
      </c>
      <c r="O263">
        <f>H263-I263</f>
        <v/>
      </c>
      <c r="P263">
        <f>TEXT(G263,"mmmm")</f>
        <v/>
      </c>
      <c r="Q263">
        <f>YEAR(G263)</f>
        <v/>
      </c>
    </row>
    <row r="264">
      <c r="A264" s="3" t="n">
        <v>272</v>
      </c>
      <c r="B264" s="3" t="inlineStr">
        <is>
          <t>Pune Plant</t>
        </is>
      </c>
      <c r="C264" s="3" t="inlineStr">
        <is>
          <t>Testing</t>
        </is>
      </c>
      <c r="D264" s="3" t="inlineStr">
        <is>
          <t>Oneplus</t>
        </is>
      </c>
      <c r="E264" s="3" t="inlineStr">
        <is>
          <t>Smartphone</t>
        </is>
      </c>
      <c r="F264" s="3" t="inlineStr">
        <is>
          <t>OnePlus 13</t>
        </is>
      </c>
      <c r="G264" s="3" t="inlineStr">
        <is>
          <t>2025-11-02</t>
        </is>
      </c>
      <c r="H264" s="3" t="n">
        <v>4026</v>
      </c>
      <c r="I264" s="3" t="n">
        <v>3922</v>
      </c>
      <c r="J264" s="3" t="n">
        <v>86570</v>
      </c>
      <c r="K264" s="3" t="inlineStr">
        <is>
          <t>Pending</t>
        </is>
      </c>
      <c r="L264" s="3" t="inlineStr">
        <is>
          <t>Completed</t>
        </is>
      </c>
      <c r="M264">
        <f>I264*J264</f>
        <v/>
      </c>
      <c r="N264" s="32">
        <f>ROUND(M264/100000, 0)</f>
        <v/>
      </c>
      <c r="O264">
        <f>H264-I264</f>
        <v/>
      </c>
      <c r="P264">
        <f>TEXT(G264,"mmmm")</f>
        <v/>
      </c>
      <c r="Q264">
        <f>YEAR(G264)</f>
        <v/>
      </c>
    </row>
    <row r="265">
      <c r="A265" s="3" t="n">
        <v>273</v>
      </c>
      <c r="B265" s="3" t="inlineStr">
        <is>
          <t>Pune Plant</t>
        </is>
      </c>
      <c r="C265" s="3" t="inlineStr">
        <is>
          <t>Manufacturing</t>
        </is>
      </c>
      <c r="D265" s="3" t="inlineStr">
        <is>
          <t>Oneplus</t>
        </is>
      </c>
      <c r="E265" s="3" t="inlineStr">
        <is>
          <t>Smartphone</t>
        </is>
      </c>
      <c r="F265" s="3" t="inlineStr">
        <is>
          <t>OnePlus 13</t>
        </is>
      </c>
      <c r="G265" s="3" t="inlineStr">
        <is>
          <t>2025-06-02</t>
        </is>
      </c>
      <c r="H265" s="3" t="n">
        <v>1876</v>
      </c>
      <c r="I265" s="3" t="n">
        <v>1627</v>
      </c>
      <c r="J265" s="3" t="n">
        <v>32359</v>
      </c>
      <c r="K265" s="3" t="inlineStr">
        <is>
          <t>Pending</t>
        </is>
      </c>
      <c r="L265" s="3" t="inlineStr">
        <is>
          <t>Completed</t>
        </is>
      </c>
      <c r="M265">
        <f>I265*J265</f>
        <v/>
      </c>
      <c r="N265" s="32">
        <f>ROUND(M265/100000, 0)</f>
        <v/>
      </c>
      <c r="O265">
        <f>H265-I265</f>
        <v/>
      </c>
      <c r="P265">
        <f>TEXT(G265,"mmmm")</f>
        <v/>
      </c>
      <c r="Q265">
        <f>YEAR(G265)</f>
        <v/>
      </c>
    </row>
    <row r="266">
      <c r="A266" s="3" t="n">
        <v>274</v>
      </c>
      <c r="B266" s="3" t="inlineStr">
        <is>
          <t>Sriperumbudur Plant</t>
        </is>
      </c>
      <c r="C266" s="3" t="inlineStr">
        <is>
          <t>Manufacturing</t>
        </is>
      </c>
      <c r="D266" s="3" t="inlineStr">
        <is>
          <t>Oneplus</t>
        </is>
      </c>
      <c r="E266" s="3" t="inlineStr">
        <is>
          <t>Smartphone</t>
        </is>
      </c>
      <c r="F266" s="3" t="inlineStr">
        <is>
          <t>OnePlus Nord 5</t>
        </is>
      </c>
      <c r="G266" s="3" t="inlineStr">
        <is>
          <t>2025-02-27</t>
        </is>
      </c>
      <c r="H266" s="3" t="n">
        <v>1000</v>
      </c>
      <c r="I266" s="3" t="n">
        <v>632</v>
      </c>
      <c r="J266" s="3" t="n">
        <v>73813</v>
      </c>
      <c r="K266" s="3" t="inlineStr">
        <is>
          <t>Pending</t>
        </is>
      </c>
      <c r="L266" s="3" t="inlineStr">
        <is>
          <t>Completed</t>
        </is>
      </c>
      <c r="M266">
        <f>I266*J266</f>
        <v/>
      </c>
      <c r="N266" s="32">
        <f>ROUND(M266/100000, 0)</f>
        <v/>
      </c>
      <c r="O266">
        <f>H266-I266</f>
        <v/>
      </c>
      <c r="P266">
        <f>TEXT(G266,"mmmm")</f>
        <v/>
      </c>
      <c r="Q266">
        <f>YEAR(G266)</f>
        <v/>
      </c>
    </row>
    <row r="267">
      <c r="A267" s="3" t="n">
        <v>275</v>
      </c>
      <c r="B267" s="3" t="inlineStr">
        <is>
          <t>Sriperumbudur Plant</t>
        </is>
      </c>
      <c r="C267" s="3" t="inlineStr">
        <is>
          <t>Manufacturing</t>
        </is>
      </c>
      <c r="D267" s="3" t="inlineStr">
        <is>
          <t>Oneplus</t>
        </is>
      </c>
      <c r="E267" s="3" t="inlineStr">
        <is>
          <t>Smartphone</t>
        </is>
      </c>
      <c r="F267" s="3" t="inlineStr">
        <is>
          <t>OnePlus 13</t>
        </is>
      </c>
      <c r="G267" s="3" t="inlineStr">
        <is>
          <t>2025-05-29</t>
        </is>
      </c>
      <c r="H267" s="3" t="n">
        <v>4532</v>
      </c>
      <c r="I267" s="3" t="n">
        <v>3126</v>
      </c>
      <c r="J267" s="3" t="n">
        <v>41452</v>
      </c>
      <c r="K267" s="3" t="inlineStr">
        <is>
          <t>Pending</t>
        </is>
      </c>
      <c r="L267" s="3" t="inlineStr">
        <is>
          <t>In Progress</t>
        </is>
      </c>
      <c r="M267">
        <f>I267*J267</f>
        <v/>
      </c>
      <c r="N267" s="32">
        <f>ROUND(M267/100000, 0)</f>
        <v/>
      </c>
      <c r="O267">
        <f>H267-I267</f>
        <v/>
      </c>
      <c r="P267">
        <f>TEXT(G267,"mmmm")</f>
        <v/>
      </c>
      <c r="Q267">
        <f>YEAR(G267)</f>
        <v/>
      </c>
    </row>
    <row r="268">
      <c r="A268" s="3" t="n">
        <v>276</v>
      </c>
      <c r="B268" s="3" t="inlineStr">
        <is>
          <t>Sriperumbudur Plant</t>
        </is>
      </c>
      <c r="C268" s="3" t="inlineStr">
        <is>
          <t>Packaging</t>
        </is>
      </c>
      <c r="D268" s="3" t="inlineStr">
        <is>
          <t>Oneplus</t>
        </is>
      </c>
      <c r="E268" s="3" t="inlineStr">
        <is>
          <t>Smartphone</t>
        </is>
      </c>
      <c r="F268" s="3" t="inlineStr">
        <is>
          <t>OnePlus Nord 5</t>
        </is>
      </c>
      <c r="G268" s="3" t="inlineStr">
        <is>
          <t>2025-10-30</t>
        </is>
      </c>
      <c r="H268" s="3" t="n">
        <v>1164</v>
      </c>
      <c r="I268" s="3" t="n">
        <v>1085</v>
      </c>
      <c r="J268" s="3" t="n">
        <v>27371</v>
      </c>
      <c r="K268" s="3" t="inlineStr">
        <is>
          <t>Shipped</t>
        </is>
      </c>
      <c r="L268" s="3" t="inlineStr">
        <is>
          <t>Completed</t>
        </is>
      </c>
      <c r="M268">
        <f>I268*J268</f>
        <v/>
      </c>
      <c r="N268" s="32">
        <f>ROUND(M268/100000, 0)</f>
        <v/>
      </c>
      <c r="O268">
        <f>H268-I268</f>
        <v/>
      </c>
      <c r="P268">
        <f>TEXT(G268,"mmmm")</f>
        <v/>
      </c>
      <c r="Q268">
        <f>YEAR(G268)</f>
        <v/>
      </c>
    </row>
    <row r="269">
      <c r="A269" s="3" t="n">
        <v>277</v>
      </c>
      <c r="B269" s="3" t="inlineStr">
        <is>
          <t>Bengaluru Plant</t>
        </is>
      </c>
      <c r="C269" s="3" t="inlineStr">
        <is>
          <t>Packaging</t>
        </is>
      </c>
      <c r="D269" s="3" t="inlineStr">
        <is>
          <t>Oneplus</t>
        </is>
      </c>
      <c r="E269" s="3" t="inlineStr">
        <is>
          <t>Smartphone</t>
        </is>
      </c>
      <c r="F269" s="3" t="inlineStr">
        <is>
          <t>OnePlus 13</t>
        </is>
      </c>
      <c r="G269" s="3" t="inlineStr">
        <is>
          <t>2025-12-12</t>
        </is>
      </c>
      <c r="H269" s="3" t="n">
        <v>4322</v>
      </c>
      <c r="I269" s="3" t="n">
        <v>3771</v>
      </c>
      <c r="J269" s="3" t="n">
        <v>21983</v>
      </c>
      <c r="K269" s="3" t="inlineStr">
        <is>
          <t>Shipped</t>
        </is>
      </c>
      <c r="L269" s="3" t="inlineStr">
        <is>
          <t>Completed</t>
        </is>
      </c>
      <c r="M269">
        <f>I269*J269</f>
        <v/>
      </c>
      <c r="N269" s="32">
        <f>ROUND(M269/100000, 0)</f>
        <v/>
      </c>
      <c r="O269">
        <f>H269-I269</f>
        <v/>
      </c>
      <c r="P269">
        <f>TEXT(G269,"mmmm")</f>
        <v/>
      </c>
      <c r="Q269">
        <f>YEAR(G269)</f>
        <v/>
      </c>
    </row>
    <row r="270">
      <c r="A270" s="3" t="n">
        <v>278</v>
      </c>
      <c r="B270" s="3" t="inlineStr">
        <is>
          <t>Sriperumbudur Plant</t>
        </is>
      </c>
      <c r="C270" s="3" t="inlineStr">
        <is>
          <t>Testing</t>
        </is>
      </c>
      <c r="D270" s="3" t="inlineStr">
        <is>
          <t>Oneplus</t>
        </is>
      </c>
      <c r="E270" s="3" t="inlineStr">
        <is>
          <t>Smartphone</t>
        </is>
      </c>
      <c r="F270" s="3" t="inlineStr">
        <is>
          <t>OnePlus 13R</t>
        </is>
      </c>
      <c r="G270" s="3" t="inlineStr">
        <is>
          <t>2025-04-08</t>
        </is>
      </c>
      <c r="H270" s="3" t="n">
        <v>3946</v>
      </c>
      <c r="I270" s="3" t="n">
        <v>2727</v>
      </c>
      <c r="J270" s="3" t="n">
        <v>26805</v>
      </c>
      <c r="K270" s="3" t="inlineStr">
        <is>
          <t>Shipped</t>
        </is>
      </c>
      <c r="L270" s="3" t="inlineStr">
        <is>
          <t>Completed</t>
        </is>
      </c>
      <c r="M270">
        <f>I270*J270</f>
        <v/>
      </c>
      <c r="N270" s="32">
        <f>ROUND(M270/1000000, 0)</f>
        <v/>
      </c>
      <c r="O270">
        <f>H270-I270</f>
        <v/>
      </c>
      <c r="P270">
        <f>TEXT(G270,"mmmm")</f>
        <v/>
      </c>
      <c r="Q270">
        <f>YEAR(G270)</f>
        <v/>
      </c>
    </row>
    <row r="271">
      <c r="A271" s="3" t="n">
        <v>280</v>
      </c>
      <c r="B271" s="3" t="inlineStr">
        <is>
          <t>Bengaluru Plant</t>
        </is>
      </c>
      <c r="C271" s="3" t="inlineStr">
        <is>
          <t>Testing</t>
        </is>
      </c>
      <c r="D271" s="3" t="inlineStr">
        <is>
          <t>Oneplus</t>
        </is>
      </c>
      <c r="E271" s="3" t="inlineStr">
        <is>
          <t>Smartphone</t>
        </is>
      </c>
      <c r="F271" s="3" t="inlineStr">
        <is>
          <t>OnePlus 13R</t>
        </is>
      </c>
      <c r="G271" s="3" t="inlineStr">
        <is>
          <t>2025-10-21</t>
        </is>
      </c>
      <c r="H271" s="3" t="n">
        <v>838</v>
      </c>
      <c r="I271" s="3" t="n">
        <v>750</v>
      </c>
      <c r="J271" s="3" t="n">
        <v>34584</v>
      </c>
      <c r="K271" s="3" t="inlineStr">
        <is>
          <t>In Transit</t>
        </is>
      </c>
      <c r="L271" s="3" t="inlineStr">
        <is>
          <t>In Progress</t>
        </is>
      </c>
      <c r="M271">
        <f>I271*J271</f>
        <v/>
      </c>
      <c r="N271" s="32">
        <f>ROUND(M271/1000000, 0)</f>
        <v/>
      </c>
      <c r="O271">
        <f>H271-I271</f>
        <v/>
      </c>
      <c r="P271">
        <f>TEXT(G271,"mmmm")</f>
        <v/>
      </c>
      <c r="Q271">
        <f>YEAR(G271)</f>
        <v/>
      </c>
    </row>
    <row r="272">
      <c r="A272" s="3" t="n">
        <v>281</v>
      </c>
      <c r="B272" s="3" t="inlineStr">
        <is>
          <t>Sriperumbudur Plant</t>
        </is>
      </c>
      <c r="C272" s="3" t="inlineStr">
        <is>
          <t>Assembly</t>
        </is>
      </c>
      <c r="D272" s="3" t="inlineStr">
        <is>
          <t>Oneplus</t>
        </is>
      </c>
      <c r="E272" s="3" t="inlineStr">
        <is>
          <t>Smartphone</t>
        </is>
      </c>
      <c r="F272" s="3" t="inlineStr">
        <is>
          <t>OnePlus 13</t>
        </is>
      </c>
      <c r="G272" s="3" t="inlineStr">
        <is>
          <t>2025-12-10</t>
        </is>
      </c>
      <c r="H272" s="3" t="n">
        <v>3826</v>
      </c>
      <c r="I272" s="3" t="n">
        <v>2446</v>
      </c>
      <c r="J272" s="3" t="n">
        <v>14911</v>
      </c>
      <c r="K272" s="3" t="inlineStr">
        <is>
          <t>Pending</t>
        </is>
      </c>
      <c r="L272" s="3" t="inlineStr">
        <is>
          <t>Completed</t>
        </is>
      </c>
      <c r="M272">
        <f>I272*J272</f>
        <v/>
      </c>
      <c r="N272" s="32">
        <f>ROUND(M272/1000000, 0)</f>
        <v/>
      </c>
      <c r="O272">
        <f>H272-I272</f>
        <v/>
      </c>
      <c r="P272">
        <f>TEXT(G272,"mmmm")</f>
        <v/>
      </c>
      <c r="Q272">
        <f>YEAR(G272)</f>
        <v/>
      </c>
    </row>
    <row r="273">
      <c r="A273" s="3" t="n">
        <v>282</v>
      </c>
      <c r="B273" s="3" t="inlineStr">
        <is>
          <t>Chennai Plant</t>
        </is>
      </c>
      <c r="C273" s="3" t="inlineStr">
        <is>
          <t>Packaging</t>
        </is>
      </c>
      <c r="D273" s="3" t="inlineStr">
        <is>
          <t>Oneplus</t>
        </is>
      </c>
      <c r="E273" s="3" t="inlineStr">
        <is>
          <t>Smartphone</t>
        </is>
      </c>
      <c r="F273" s="3" t="inlineStr">
        <is>
          <t>OnePlus Nord 5</t>
        </is>
      </c>
      <c r="G273" s="3" t="inlineStr">
        <is>
          <t>2025-10-16</t>
        </is>
      </c>
      <c r="H273" s="3" t="n">
        <v>4230</v>
      </c>
      <c r="I273" s="3" t="n">
        <v>2955</v>
      </c>
      <c r="J273" s="3" t="n">
        <v>88320</v>
      </c>
      <c r="K273" s="3" t="inlineStr">
        <is>
          <t>Shipped</t>
        </is>
      </c>
      <c r="L273" s="3" t="inlineStr">
        <is>
          <t>Completed</t>
        </is>
      </c>
      <c r="M273">
        <f>I273*J273</f>
        <v/>
      </c>
      <c r="N273" s="32">
        <f>ROUND(M273/1000000, 0)</f>
        <v/>
      </c>
      <c r="O273">
        <f>H273-I273</f>
        <v/>
      </c>
      <c r="P273">
        <f>TEXT(G273,"mmmm")</f>
        <v/>
      </c>
      <c r="Q273">
        <f>YEAR(G273)</f>
        <v/>
      </c>
    </row>
    <row r="274">
      <c r="A274" s="3" t="n">
        <v>283</v>
      </c>
      <c r="B274" s="3" t="inlineStr">
        <is>
          <t>Chennai Plant</t>
        </is>
      </c>
      <c r="C274" s="3" t="inlineStr">
        <is>
          <t>Testing</t>
        </is>
      </c>
      <c r="D274" s="3" t="inlineStr">
        <is>
          <t>Oneplus</t>
        </is>
      </c>
      <c r="E274" s="3" t="inlineStr">
        <is>
          <t>Smartphone</t>
        </is>
      </c>
      <c r="F274" s="3" t="inlineStr">
        <is>
          <t>OnePlus Nord 5</t>
        </is>
      </c>
      <c r="G274" s="3" t="inlineStr">
        <is>
          <t>2025-05-15</t>
        </is>
      </c>
      <c r="H274" s="3" t="n">
        <v>2775</v>
      </c>
      <c r="I274" s="3" t="n">
        <v>1878</v>
      </c>
      <c r="J274" s="3" t="n">
        <v>43228</v>
      </c>
      <c r="K274" s="3" t="inlineStr">
        <is>
          <t>Shipped</t>
        </is>
      </c>
      <c r="L274" s="3" t="inlineStr">
        <is>
          <t>In Progress</t>
        </is>
      </c>
      <c r="M274">
        <f>I274*J274</f>
        <v/>
      </c>
      <c r="N274" s="32">
        <f>ROUND(M274/1000000, 0)</f>
        <v/>
      </c>
      <c r="O274">
        <f>H274-I274</f>
        <v/>
      </c>
      <c r="P274">
        <f>TEXT(G274,"mmmm")</f>
        <v/>
      </c>
      <c r="Q274">
        <f>YEAR(G274)</f>
        <v/>
      </c>
    </row>
    <row r="275">
      <c r="A275" s="3" t="n">
        <v>284</v>
      </c>
      <c r="B275" s="3" t="inlineStr">
        <is>
          <t>Sriperumbudur Plant</t>
        </is>
      </c>
      <c r="C275" s="3" t="inlineStr">
        <is>
          <t>Manufacturing</t>
        </is>
      </c>
      <c r="D275" s="3" t="inlineStr">
        <is>
          <t>Oneplus</t>
        </is>
      </c>
      <c r="E275" s="3" t="inlineStr">
        <is>
          <t>Smartphone</t>
        </is>
      </c>
      <c r="F275" s="3" t="inlineStr">
        <is>
          <t>OnePlus 13R</t>
        </is>
      </c>
      <c r="G275" s="3" t="inlineStr">
        <is>
          <t>2025-07-06</t>
        </is>
      </c>
      <c r="H275" s="3" t="n">
        <v>4793</v>
      </c>
      <c r="I275" s="3" t="n">
        <v>3082</v>
      </c>
      <c r="J275" s="3" t="n">
        <v>95770</v>
      </c>
      <c r="K275" s="3" t="inlineStr">
        <is>
          <t>In Transit</t>
        </is>
      </c>
      <c r="L275" s="3" t="inlineStr">
        <is>
          <t>In Progress</t>
        </is>
      </c>
      <c r="M275">
        <f>I275*J275</f>
        <v/>
      </c>
      <c r="N275" s="32">
        <f>ROUND(M275/1000000, 0)</f>
        <v/>
      </c>
      <c r="O275">
        <f>H275-I275</f>
        <v/>
      </c>
      <c r="P275">
        <f>TEXT(G275,"mmmm")</f>
        <v/>
      </c>
      <c r="Q275">
        <f>YEAR(G275)</f>
        <v/>
      </c>
    </row>
    <row r="276">
      <c r="A276" s="3" t="n">
        <v>285</v>
      </c>
      <c r="B276" s="3" t="inlineStr">
        <is>
          <t>Sriperumbudur Plant</t>
        </is>
      </c>
      <c r="C276" s="3" t="inlineStr">
        <is>
          <t>Manufacturing</t>
        </is>
      </c>
      <c r="D276" s="3" t="inlineStr">
        <is>
          <t>Oneplus</t>
        </is>
      </c>
      <c r="E276" s="3" t="inlineStr">
        <is>
          <t>Smartphone</t>
        </is>
      </c>
      <c r="F276" s="3" t="inlineStr">
        <is>
          <t>OnePlus 13R</t>
        </is>
      </c>
      <c r="G276" s="3" t="inlineStr">
        <is>
          <t>2025-01-23</t>
        </is>
      </c>
      <c r="H276" s="3" t="n">
        <v>4981</v>
      </c>
      <c r="I276" s="3" t="n">
        <v>4898</v>
      </c>
      <c r="J276" s="3" t="n">
        <v>18626</v>
      </c>
      <c r="K276" s="3" t="inlineStr">
        <is>
          <t>Shipped</t>
        </is>
      </c>
      <c r="L276" s="3" t="inlineStr">
        <is>
          <t>In Progress</t>
        </is>
      </c>
      <c r="M276">
        <f>I276*J276</f>
        <v/>
      </c>
      <c r="N276" s="32">
        <f>ROUND(M276/1000000, 0)</f>
        <v/>
      </c>
      <c r="O276">
        <f>H276-I276</f>
        <v/>
      </c>
      <c r="P276">
        <f>TEXT(G276,"mmmm")</f>
        <v/>
      </c>
      <c r="Q276">
        <f>YEAR(G276)</f>
        <v/>
      </c>
    </row>
    <row r="277">
      <c r="A277" s="3" t="n">
        <v>286</v>
      </c>
      <c r="B277" s="3" t="inlineStr">
        <is>
          <t>Noida Plant</t>
        </is>
      </c>
      <c r="C277" s="3" t="inlineStr">
        <is>
          <t>Testing</t>
        </is>
      </c>
      <c r="D277" s="3" t="inlineStr">
        <is>
          <t>Oneplus</t>
        </is>
      </c>
      <c r="E277" s="3" t="inlineStr">
        <is>
          <t>Smartphone</t>
        </is>
      </c>
      <c r="F277" s="3" t="inlineStr">
        <is>
          <t>OnePlus 13</t>
        </is>
      </c>
      <c r="G277" s="3" t="inlineStr">
        <is>
          <t>2025-01-03</t>
        </is>
      </c>
      <c r="H277" s="3" t="n">
        <v>2207</v>
      </c>
      <c r="I277" s="3" t="n">
        <v>2088</v>
      </c>
      <c r="J277" s="3" t="n">
        <v>112423</v>
      </c>
      <c r="K277" s="3" t="inlineStr">
        <is>
          <t>Pending</t>
        </is>
      </c>
      <c r="L277" s="3" t="inlineStr">
        <is>
          <t>In Progress</t>
        </is>
      </c>
      <c r="M277">
        <f>I277*J277</f>
        <v/>
      </c>
      <c r="N277" s="32">
        <f>ROUND(M277/1000000, 0)</f>
        <v/>
      </c>
      <c r="O277">
        <f>H277-I277</f>
        <v/>
      </c>
      <c r="P277">
        <f>TEXT(G277,"mmmm")</f>
        <v/>
      </c>
      <c r="Q277">
        <f>YEAR(G277)</f>
        <v/>
      </c>
    </row>
    <row r="278">
      <c r="A278" s="3" t="n">
        <v>287</v>
      </c>
      <c r="B278" s="3" t="inlineStr">
        <is>
          <t>Pune Plant</t>
        </is>
      </c>
      <c r="C278" s="3" t="inlineStr">
        <is>
          <t>Manufacturing</t>
        </is>
      </c>
      <c r="D278" s="3" t="inlineStr">
        <is>
          <t>Oneplus</t>
        </is>
      </c>
      <c r="E278" s="3" t="inlineStr">
        <is>
          <t>Smartphone</t>
        </is>
      </c>
      <c r="F278" s="3" t="inlineStr">
        <is>
          <t>OnePlus Nord 5</t>
        </is>
      </c>
      <c r="G278" s="3" t="inlineStr">
        <is>
          <t>2025-12-16</t>
        </is>
      </c>
      <c r="H278" s="3" t="n">
        <v>4891</v>
      </c>
      <c r="I278" s="3" t="n">
        <v>4376</v>
      </c>
      <c r="J278" s="3" t="n">
        <v>103003</v>
      </c>
      <c r="K278" s="3" t="inlineStr">
        <is>
          <t>Pending</t>
        </is>
      </c>
      <c r="L278" s="3" t="inlineStr">
        <is>
          <t>In Progress</t>
        </is>
      </c>
      <c r="M278">
        <f>I278*J278</f>
        <v/>
      </c>
      <c r="N278" s="32">
        <f>ROUND(M278/1000000, 0)</f>
        <v/>
      </c>
      <c r="O278">
        <f>H278-I278</f>
        <v/>
      </c>
      <c r="P278">
        <f>TEXT(G278,"mmmm")</f>
        <v/>
      </c>
      <c r="Q278">
        <f>YEAR(G278)</f>
        <v/>
      </c>
    </row>
    <row r="279">
      <c r="A279" s="3" t="n">
        <v>288</v>
      </c>
      <c r="B279" s="3" t="inlineStr">
        <is>
          <t>Noida Plant</t>
        </is>
      </c>
      <c r="C279" s="3" t="inlineStr">
        <is>
          <t>Packaging</t>
        </is>
      </c>
      <c r="D279" s="3" t="inlineStr">
        <is>
          <t>Oneplus</t>
        </is>
      </c>
      <c r="E279" s="3" t="inlineStr">
        <is>
          <t>Smartphone</t>
        </is>
      </c>
      <c r="F279" s="3" t="inlineStr">
        <is>
          <t>OnePlus Nord 5</t>
        </is>
      </c>
      <c r="G279" s="3" t="inlineStr">
        <is>
          <t>2025-05-31</t>
        </is>
      </c>
      <c r="H279" s="3" t="n">
        <v>3040</v>
      </c>
      <c r="I279" s="3" t="n">
        <v>1973</v>
      </c>
      <c r="J279" s="3" t="n">
        <v>55486</v>
      </c>
      <c r="K279" s="3" t="inlineStr">
        <is>
          <t>Pending</t>
        </is>
      </c>
      <c r="L279" s="3" t="inlineStr">
        <is>
          <t>Completed</t>
        </is>
      </c>
      <c r="M279">
        <f>I279*J279</f>
        <v/>
      </c>
      <c r="N279" s="32">
        <f>ROUND(M279/1000000, 0)</f>
        <v/>
      </c>
      <c r="O279">
        <f>H279-I279</f>
        <v/>
      </c>
      <c r="P279">
        <f>TEXT(G279,"mmmm")</f>
        <v/>
      </c>
      <c r="Q279">
        <f>YEAR(G279)</f>
        <v/>
      </c>
    </row>
    <row r="280">
      <c r="A280" s="3" t="n">
        <v>289</v>
      </c>
      <c r="B280" s="3" t="inlineStr">
        <is>
          <t>Noida Plant</t>
        </is>
      </c>
      <c r="C280" s="3" t="inlineStr">
        <is>
          <t>Manufacturing</t>
        </is>
      </c>
      <c r="D280" s="3" t="inlineStr">
        <is>
          <t>Oneplus</t>
        </is>
      </c>
      <c r="E280" s="3" t="inlineStr">
        <is>
          <t>Smartphone</t>
        </is>
      </c>
      <c r="F280" s="3" t="inlineStr">
        <is>
          <t>OnePlus 13R</t>
        </is>
      </c>
      <c r="G280" s="3" t="inlineStr">
        <is>
          <t>2025-02-04</t>
        </is>
      </c>
      <c r="H280" s="3" t="n">
        <v>2806</v>
      </c>
      <c r="I280" s="3" t="n">
        <v>2480</v>
      </c>
      <c r="J280" s="3" t="n">
        <v>60915</v>
      </c>
      <c r="K280" s="3" t="inlineStr">
        <is>
          <t>Shipped</t>
        </is>
      </c>
      <c r="L280" s="3" t="inlineStr">
        <is>
          <t>Completed</t>
        </is>
      </c>
      <c r="M280">
        <f>I280*J280</f>
        <v/>
      </c>
      <c r="N280" s="32">
        <f>ROUND(M280/1000000, 0)</f>
        <v/>
      </c>
      <c r="O280">
        <f>H280-I280</f>
        <v/>
      </c>
      <c r="P280">
        <f>TEXT(G280,"mmmm")</f>
        <v/>
      </c>
      <c r="Q280">
        <f>YEAR(G280)</f>
        <v/>
      </c>
    </row>
    <row r="281">
      <c r="A281" s="3" t="n">
        <v>290</v>
      </c>
      <c r="B281" s="3" t="inlineStr">
        <is>
          <t>Chennai Plant</t>
        </is>
      </c>
      <c r="C281" s="3" t="inlineStr">
        <is>
          <t>Testing</t>
        </is>
      </c>
      <c r="D281" s="3" t="inlineStr">
        <is>
          <t>Oneplus</t>
        </is>
      </c>
      <c r="E281" s="3" t="inlineStr">
        <is>
          <t>Smartphone</t>
        </is>
      </c>
      <c r="F281" s="3" t="inlineStr">
        <is>
          <t>OnePlus 13R</t>
        </is>
      </c>
      <c r="G281" s="3" t="inlineStr">
        <is>
          <t>2025-01-25</t>
        </is>
      </c>
      <c r="H281" s="3" t="n">
        <v>3067</v>
      </c>
      <c r="I281" s="3" t="n">
        <v>2374</v>
      </c>
      <c r="J281" s="3" t="n">
        <v>21014</v>
      </c>
      <c r="K281" s="3" t="inlineStr">
        <is>
          <t>Shipped</t>
        </is>
      </c>
      <c r="L281" s="3" t="inlineStr">
        <is>
          <t>Completed</t>
        </is>
      </c>
      <c r="M281">
        <f>I281*J281</f>
        <v/>
      </c>
      <c r="N281" s="32">
        <f>ROUND(M281/1000000, 0)</f>
        <v/>
      </c>
      <c r="O281">
        <f>H281-I281</f>
        <v/>
      </c>
      <c r="P281">
        <f>TEXT(G281,"mmmm")</f>
        <v/>
      </c>
      <c r="Q281">
        <f>YEAR(G281)</f>
        <v/>
      </c>
    </row>
    <row r="282">
      <c r="A282" s="3" t="n">
        <v>291</v>
      </c>
      <c r="B282" s="3" t="inlineStr">
        <is>
          <t>Bengaluru Plant</t>
        </is>
      </c>
      <c r="C282" s="3" t="inlineStr">
        <is>
          <t>Testing</t>
        </is>
      </c>
      <c r="D282" s="3" t="inlineStr">
        <is>
          <t>Oneplus</t>
        </is>
      </c>
      <c r="E282" s="3" t="inlineStr">
        <is>
          <t>Smartphone</t>
        </is>
      </c>
      <c r="F282" s="3" t="inlineStr">
        <is>
          <t>OnePlus 13</t>
        </is>
      </c>
      <c r="G282" s="3" t="inlineStr">
        <is>
          <t>2025-05-08</t>
        </is>
      </c>
      <c r="H282" s="3" t="n">
        <v>4254</v>
      </c>
      <c r="I282" s="3" t="n">
        <v>3753</v>
      </c>
      <c r="J282" s="3" t="n">
        <v>35837</v>
      </c>
      <c r="K282" s="3" t="inlineStr">
        <is>
          <t>In Transit</t>
        </is>
      </c>
      <c r="L282" s="3" t="inlineStr">
        <is>
          <t>In Progress</t>
        </is>
      </c>
      <c r="M282">
        <f>I282*J282</f>
        <v/>
      </c>
      <c r="N282" s="32">
        <f>ROUND(M282/1000000, 0)</f>
        <v/>
      </c>
      <c r="O282">
        <f>H282-I282</f>
        <v/>
      </c>
      <c r="P282">
        <f>TEXT(G282,"mmmm")</f>
        <v/>
      </c>
      <c r="Q282">
        <f>YEAR(G282)</f>
        <v/>
      </c>
    </row>
    <row r="283">
      <c r="A283" s="3" t="n">
        <v>292</v>
      </c>
      <c r="B283" s="3" t="inlineStr">
        <is>
          <t>Noida Plant</t>
        </is>
      </c>
      <c r="C283" s="3" t="inlineStr">
        <is>
          <t>Testing</t>
        </is>
      </c>
      <c r="D283" s="3" t="inlineStr">
        <is>
          <t>Oneplus</t>
        </is>
      </c>
      <c r="E283" s="3" t="inlineStr">
        <is>
          <t>Smartphone</t>
        </is>
      </c>
      <c r="F283" s="3" t="inlineStr">
        <is>
          <t>OnePlus 13</t>
        </is>
      </c>
      <c r="G283" s="3" t="inlineStr">
        <is>
          <t>2025-12-28</t>
        </is>
      </c>
      <c r="H283" s="3" t="n">
        <v>3366</v>
      </c>
      <c r="I283" s="3" t="n">
        <v>2048</v>
      </c>
      <c r="J283" s="3" t="n">
        <v>37644</v>
      </c>
      <c r="K283" s="3" t="inlineStr">
        <is>
          <t>In Transit</t>
        </is>
      </c>
      <c r="L283" s="3" t="inlineStr">
        <is>
          <t>Completed</t>
        </is>
      </c>
      <c r="M283">
        <f>I283*J283</f>
        <v/>
      </c>
      <c r="N283" s="32">
        <f>ROUND(M283/1000000, 0)</f>
        <v/>
      </c>
      <c r="O283">
        <f>H283-I283</f>
        <v/>
      </c>
      <c r="P283">
        <f>TEXT(G283,"mmmm")</f>
        <v/>
      </c>
      <c r="Q283">
        <f>YEAR(G283)</f>
        <v/>
      </c>
    </row>
    <row r="284">
      <c r="A284" s="3" t="n">
        <v>293</v>
      </c>
      <c r="B284" s="3" t="inlineStr">
        <is>
          <t>Pune Plant</t>
        </is>
      </c>
      <c r="C284" s="3" t="inlineStr">
        <is>
          <t>Testing</t>
        </is>
      </c>
      <c r="D284" s="3" t="inlineStr">
        <is>
          <t>Oneplus</t>
        </is>
      </c>
      <c r="E284" s="3" t="inlineStr">
        <is>
          <t>Smartphone</t>
        </is>
      </c>
      <c r="F284" s="3" t="inlineStr">
        <is>
          <t>OnePlus 13R</t>
        </is>
      </c>
      <c r="G284" s="3" t="inlineStr">
        <is>
          <t>2025-08-11</t>
        </is>
      </c>
      <c r="H284" s="3" t="n">
        <v>1963</v>
      </c>
      <c r="I284" s="3" t="n">
        <v>1334</v>
      </c>
      <c r="J284" s="3" t="n">
        <v>100346</v>
      </c>
      <c r="K284" s="3" t="inlineStr">
        <is>
          <t>Shipped</t>
        </is>
      </c>
      <c r="L284" s="3" t="inlineStr">
        <is>
          <t>In Progress</t>
        </is>
      </c>
      <c r="M284">
        <f>I284*J284</f>
        <v/>
      </c>
      <c r="N284" s="32">
        <f>ROUND(M284/1000000, 0)</f>
        <v/>
      </c>
      <c r="O284">
        <f>H284-I284</f>
        <v/>
      </c>
      <c r="P284">
        <f>TEXT(G284,"mmmm")</f>
        <v/>
      </c>
      <c r="Q284">
        <f>YEAR(G284)</f>
        <v/>
      </c>
    </row>
    <row r="285">
      <c r="A285" s="3" t="n">
        <v>294</v>
      </c>
      <c r="B285" s="3" t="inlineStr">
        <is>
          <t>Noida Plant</t>
        </is>
      </c>
      <c r="C285" s="3" t="inlineStr">
        <is>
          <t>Packaging</t>
        </is>
      </c>
      <c r="D285" s="3" t="inlineStr">
        <is>
          <t>Oneplus</t>
        </is>
      </c>
      <c r="E285" s="3" t="inlineStr">
        <is>
          <t>Smartphone</t>
        </is>
      </c>
      <c r="F285" s="3" t="inlineStr">
        <is>
          <t>OnePlus 13R</t>
        </is>
      </c>
      <c r="G285" s="3" t="inlineStr">
        <is>
          <t>2025-12-23</t>
        </is>
      </c>
      <c r="H285" s="3" t="n">
        <v>2944</v>
      </c>
      <c r="I285" s="3" t="n">
        <v>1938</v>
      </c>
      <c r="J285" s="3" t="n">
        <v>38572</v>
      </c>
      <c r="K285" s="3" t="inlineStr">
        <is>
          <t>Shipped</t>
        </is>
      </c>
      <c r="L285" s="3" t="inlineStr">
        <is>
          <t>Completed</t>
        </is>
      </c>
      <c r="M285">
        <f>I285*J285</f>
        <v/>
      </c>
      <c r="N285" s="32">
        <f>ROUND(M285/1000000, 0)</f>
        <v/>
      </c>
      <c r="O285">
        <f>H285-I285</f>
        <v/>
      </c>
      <c r="P285">
        <f>TEXT(G285,"mmmm")</f>
        <v/>
      </c>
      <c r="Q285">
        <f>YEAR(G285)</f>
        <v/>
      </c>
    </row>
    <row r="286">
      <c r="A286" s="3" t="n">
        <v>295</v>
      </c>
      <c r="B286" s="3" t="inlineStr">
        <is>
          <t>Bengaluru Plant</t>
        </is>
      </c>
      <c r="C286" s="3" t="inlineStr">
        <is>
          <t>Testing</t>
        </is>
      </c>
      <c r="D286" s="3" t="inlineStr">
        <is>
          <t>Oneplus</t>
        </is>
      </c>
      <c r="E286" s="3" t="inlineStr">
        <is>
          <t>Smartphone</t>
        </is>
      </c>
      <c r="F286" s="3" t="inlineStr">
        <is>
          <t>OnePlus 13R</t>
        </is>
      </c>
      <c r="G286" s="3" t="inlineStr">
        <is>
          <t>2025-04-05</t>
        </is>
      </c>
      <c r="H286" s="3" t="n">
        <v>3022</v>
      </c>
      <c r="I286" s="3" t="n">
        <v>2986</v>
      </c>
      <c r="J286" s="3" t="n">
        <v>22383</v>
      </c>
      <c r="K286" s="3" t="inlineStr">
        <is>
          <t>Shipped</t>
        </is>
      </c>
      <c r="L286" s="3" t="inlineStr">
        <is>
          <t>Completed</t>
        </is>
      </c>
      <c r="M286">
        <f>I286*J286</f>
        <v/>
      </c>
      <c r="N286" s="32">
        <f>ROUND(M286/1000000, 0)</f>
        <v/>
      </c>
      <c r="O286">
        <f>H286-I286</f>
        <v/>
      </c>
      <c r="P286">
        <f>TEXT(G286,"mmmm")</f>
        <v/>
      </c>
      <c r="Q286">
        <f>YEAR(G286)</f>
        <v/>
      </c>
    </row>
    <row r="287">
      <c r="A287" s="3" t="n">
        <v>296</v>
      </c>
      <c r="B287" s="3" t="inlineStr">
        <is>
          <t>Bengaluru Plant</t>
        </is>
      </c>
      <c r="C287" s="3" t="inlineStr">
        <is>
          <t>Packaging</t>
        </is>
      </c>
      <c r="D287" s="3" t="inlineStr">
        <is>
          <t>Oneplus</t>
        </is>
      </c>
      <c r="E287" s="3" t="inlineStr">
        <is>
          <t>Smartphone</t>
        </is>
      </c>
      <c r="F287" s="3" t="inlineStr">
        <is>
          <t>OnePlus 13R</t>
        </is>
      </c>
      <c r="G287" s="3" t="inlineStr">
        <is>
          <t>2025-08-05</t>
        </is>
      </c>
      <c r="H287" s="3" t="n">
        <v>3416</v>
      </c>
      <c r="I287" s="3" t="n">
        <v>3234</v>
      </c>
      <c r="J287" s="3" t="n">
        <v>96668</v>
      </c>
      <c r="K287" s="3" t="inlineStr">
        <is>
          <t>Shipped</t>
        </is>
      </c>
      <c r="L287" s="3" t="inlineStr">
        <is>
          <t>Completed</t>
        </is>
      </c>
      <c r="M287">
        <f>I287*J287</f>
        <v/>
      </c>
      <c r="N287" s="32">
        <f>ROUND(M287/1000000, 0)</f>
        <v/>
      </c>
      <c r="O287">
        <f>H287-I287</f>
        <v/>
      </c>
      <c r="P287">
        <f>TEXT(G287,"mmmm")</f>
        <v/>
      </c>
      <c r="Q287">
        <f>YEAR(G287)</f>
        <v/>
      </c>
    </row>
    <row r="288">
      <c r="A288" s="3" t="n">
        <v>297</v>
      </c>
      <c r="B288" s="3" t="inlineStr">
        <is>
          <t>Chennai Plant</t>
        </is>
      </c>
      <c r="C288" s="3" t="inlineStr">
        <is>
          <t>Packaging</t>
        </is>
      </c>
      <c r="D288" s="3" t="inlineStr">
        <is>
          <t>Oneplus</t>
        </is>
      </c>
      <c r="E288" s="3" t="inlineStr">
        <is>
          <t>Smartphone</t>
        </is>
      </c>
      <c r="F288" s="3" t="inlineStr">
        <is>
          <t>OnePlus 13R</t>
        </is>
      </c>
      <c r="G288" s="3" t="inlineStr">
        <is>
          <t>2025-09-09</t>
        </is>
      </c>
      <c r="H288" s="3" t="n">
        <v>4268</v>
      </c>
      <c r="I288" s="3" t="n">
        <v>3629</v>
      </c>
      <c r="J288" s="3" t="n">
        <v>46119</v>
      </c>
      <c r="K288" s="3" t="inlineStr">
        <is>
          <t>Pending</t>
        </is>
      </c>
      <c r="L288" s="3" t="inlineStr">
        <is>
          <t>In Progress</t>
        </is>
      </c>
      <c r="M288">
        <f>I288*J288</f>
        <v/>
      </c>
      <c r="N288" s="32">
        <f>ROUND(M288/1000000, 0)</f>
        <v/>
      </c>
      <c r="O288">
        <f>H288-I288</f>
        <v/>
      </c>
      <c r="P288">
        <f>TEXT(G288,"mmmm")</f>
        <v/>
      </c>
      <c r="Q288">
        <f>YEAR(G288)</f>
        <v/>
      </c>
    </row>
    <row r="289">
      <c r="A289" s="3" t="n">
        <v>298</v>
      </c>
      <c r="B289" s="3" t="inlineStr">
        <is>
          <t>Noida Plant</t>
        </is>
      </c>
      <c r="C289" s="3" t="inlineStr">
        <is>
          <t>Assembly</t>
        </is>
      </c>
      <c r="D289" s="3" t="inlineStr">
        <is>
          <t>Oneplus</t>
        </is>
      </c>
      <c r="E289" s="3" t="inlineStr">
        <is>
          <t>Smartphone</t>
        </is>
      </c>
      <c r="F289" s="3" t="inlineStr">
        <is>
          <t>OnePlus 13R</t>
        </is>
      </c>
      <c r="G289" s="3" t="inlineStr">
        <is>
          <t>2025-03-14</t>
        </is>
      </c>
      <c r="H289" s="3" t="n">
        <v>3066</v>
      </c>
      <c r="I289" s="3" t="n">
        <v>2071</v>
      </c>
      <c r="J289" s="3" t="n">
        <v>64469</v>
      </c>
      <c r="K289" s="3" t="inlineStr">
        <is>
          <t>In Transit</t>
        </is>
      </c>
      <c r="L289" s="3" t="inlineStr">
        <is>
          <t>Completed</t>
        </is>
      </c>
      <c r="M289">
        <f>I289*J289</f>
        <v/>
      </c>
      <c r="N289" s="32">
        <f>ROUND(M289/1000000, 0)</f>
        <v/>
      </c>
      <c r="O289">
        <f>H289-I289</f>
        <v/>
      </c>
      <c r="P289">
        <f>TEXT(G289,"mmmm")</f>
        <v/>
      </c>
      <c r="Q289">
        <f>YEAR(G289)</f>
        <v/>
      </c>
    </row>
    <row r="290">
      <c r="A290" s="3" t="n">
        <v>299</v>
      </c>
      <c r="B290" s="3" t="inlineStr">
        <is>
          <t>Chennai Plant</t>
        </is>
      </c>
      <c r="C290" s="3" t="inlineStr">
        <is>
          <t>Packaging</t>
        </is>
      </c>
      <c r="D290" s="3" t="inlineStr">
        <is>
          <t>Oneplus</t>
        </is>
      </c>
      <c r="E290" s="3" t="inlineStr">
        <is>
          <t>Smartphone</t>
        </is>
      </c>
      <c r="F290" s="3" t="inlineStr">
        <is>
          <t>OnePlus Nord 5</t>
        </is>
      </c>
      <c r="G290" s="3" t="inlineStr">
        <is>
          <t>2025-01-16</t>
        </is>
      </c>
      <c r="H290" s="3" t="n">
        <v>1381</v>
      </c>
      <c r="I290" s="3" t="n">
        <v>979</v>
      </c>
      <c r="J290" s="3" t="n">
        <v>95278</v>
      </c>
      <c r="K290" s="3" t="inlineStr">
        <is>
          <t>Shipped</t>
        </is>
      </c>
      <c r="L290" s="3" t="inlineStr">
        <is>
          <t>Completed</t>
        </is>
      </c>
      <c r="M290">
        <f>I290*J290</f>
        <v/>
      </c>
      <c r="N290" s="32">
        <f>ROUND(M290/1000000, 0)</f>
        <v/>
      </c>
      <c r="O290">
        <f>H290-I290</f>
        <v/>
      </c>
      <c r="P290">
        <f>TEXT(G290,"mmmm")</f>
        <v/>
      </c>
      <c r="Q290">
        <f>YEAR(G290)</f>
        <v/>
      </c>
    </row>
    <row r="291">
      <c r="A291" s="3" t="n">
        <v>300</v>
      </c>
      <c r="B291" s="3" t="inlineStr">
        <is>
          <t>Pune Plant</t>
        </is>
      </c>
      <c r="C291" s="3" t="inlineStr">
        <is>
          <t>Assembly</t>
        </is>
      </c>
      <c r="D291" s="3" t="inlineStr">
        <is>
          <t>Oneplus</t>
        </is>
      </c>
      <c r="E291" s="3" t="inlineStr">
        <is>
          <t>Smartphone</t>
        </is>
      </c>
      <c r="F291" s="3" t="inlineStr">
        <is>
          <t>OnePlus Nord 5</t>
        </is>
      </c>
      <c r="G291" s="3" t="inlineStr">
        <is>
          <t>2025-05-31</t>
        </is>
      </c>
      <c r="H291" s="3" t="n">
        <v>1218</v>
      </c>
      <c r="I291" s="3" t="n">
        <v>1201</v>
      </c>
      <c r="J291" s="3" t="n">
        <v>91690</v>
      </c>
      <c r="K291" s="3" t="inlineStr">
        <is>
          <t>In Transit</t>
        </is>
      </c>
      <c r="L291" s="3" t="inlineStr">
        <is>
          <t>Completed</t>
        </is>
      </c>
      <c r="M291">
        <f>I291*J291</f>
        <v/>
      </c>
      <c r="N291" s="32">
        <f>ROUND(M291/1000000, 0)</f>
        <v/>
      </c>
      <c r="O291">
        <f>H291-I291</f>
        <v/>
      </c>
      <c r="P291">
        <f>TEXT(G291,"mmmm")</f>
        <v/>
      </c>
      <c r="Q291">
        <f>YEAR(G291)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8"/>
  <sheetViews>
    <sheetView zoomScale="78" zoomScaleNormal="78" workbookViewId="0">
      <selection activeCell="D4" sqref="D4"/>
    </sheetView>
  </sheetViews>
  <sheetFormatPr baseColWidth="8" defaultRowHeight="15" outlineLevelCol="0"/>
  <cols>
    <col width="13.140625" bestFit="1" customWidth="1" style="18" min="1" max="1"/>
    <col width="24.5703125" bestFit="1" customWidth="1" style="18" min="2" max="2"/>
    <col width="61.42578125" bestFit="1" customWidth="1" style="18" min="4" max="4"/>
    <col width="17.28515625" customWidth="1" style="18" min="5" max="5"/>
    <col width="30.140625" customWidth="1" style="18" min="6" max="6"/>
    <col width="15.85546875" customWidth="1" style="18" min="7" max="7"/>
    <col width="24.5703125" bestFit="1" customWidth="1" style="18" min="8" max="8"/>
    <col width="32" customWidth="1" style="18" min="10" max="10"/>
    <col width="11.85546875" customWidth="1" style="18" min="11" max="11"/>
  </cols>
  <sheetData>
    <row r="2" ht="21" customFormat="1" customHeight="1" s="12">
      <c r="B2" s="46" t="inlineStr">
        <is>
          <t xml:space="preserve">Total Production </t>
        </is>
      </c>
      <c r="D2" s="13" t="inlineStr">
        <is>
          <t>Total Brands</t>
        </is>
      </c>
      <c r="F2" s="14" t="inlineStr">
        <is>
          <t xml:space="preserve">Average Production </t>
        </is>
      </c>
      <c r="H2" s="15" t="inlineStr">
        <is>
          <t xml:space="preserve">Maxi Production </t>
        </is>
      </c>
      <c r="J2" s="16" t="inlineStr">
        <is>
          <t xml:space="preserve">Mini Production </t>
        </is>
      </c>
    </row>
    <row r="3" ht="21" customFormat="1" customHeight="1" s="5">
      <c r="B3" s="7">
        <f>SUM(Table1[Quantity Produced])</f>
        <v/>
      </c>
      <c r="D3" s="6" t="n">
        <v>5</v>
      </c>
      <c r="F3" s="50">
        <f>ROUND(AVERAGE('Cleaned Data'!H:H), 0)</f>
        <v/>
      </c>
      <c r="H3" s="9">
        <f>MAX('Cleaned Data'!H:H)</f>
        <v/>
      </c>
      <c r="J3" s="10">
        <f>MIN('Cleaned Data'!H:H)</f>
        <v/>
      </c>
    </row>
    <row r="8" ht="30" customHeight="1" s="18">
      <c r="A8" s="17" t="inlineStr">
        <is>
          <t>Row Labels</t>
        </is>
      </c>
      <c r="B8" t="inlineStr">
        <is>
          <t>Sum of Quantity Produced</t>
        </is>
      </c>
      <c r="D8" s="17" t="inlineStr">
        <is>
          <t>Row Labels</t>
        </is>
      </c>
      <c r="E8" s="22" t="inlineStr">
        <is>
          <t>Sum of Quantity Produced</t>
        </is>
      </c>
      <c r="G8" s="17" t="inlineStr">
        <is>
          <t>Row Labels</t>
        </is>
      </c>
      <c r="H8" t="inlineStr">
        <is>
          <t>Sum of Quantity Produced</t>
        </is>
      </c>
    </row>
    <row r="9">
      <c r="A9" s="2" t="inlineStr">
        <is>
          <t>Apple</t>
        </is>
      </c>
      <c r="B9" t="n">
        <v>162257</v>
      </c>
      <c r="D9" s="2" t="inlineStr">
        <is>
          <t>Bengaluru Plant</t>
        </is>
      </c>
      <c r="E9" t="n">
        <v>176750</v>
      </c>
      <c r="G9" s="2" t="inlineStr">
        <is>
          <t>Galaxy A55</t>
        </is>
      </c>
      <c r="H9" t="n">
        <v>70263</v>
      </c>
    </row>
    <row r="10">
      <c r="A10" s="2" t="inlineStr">
        <is>
          <t>Oneplus</t>
        </is>
      </c>
      <c r="B10" t="n">
        <v>167240</v>
      </c>
      <c r="D10" s="2" t="inlineStr">
        <is>
          <t>Chennai Plant</t>
        </is>
      </c>
      <c r="E10" t="n">
        <v>132193</v>
      </c>
      <c r="G10" s="2" t="inlineStr">
        <is>
          <t>Galaxy M35</t>
        </is>
      </c>
      <c r="H10" t="n">
        <v>56906</v>
      </c>
    </row>
    <row r="11">
      <c r="A11" s="2" t="inlineStr">
        <is>
          <t>Samsung</t>
        </is>
      </c>
      <c r="B11" t="n">
        <v>167106</v>
      </c>
      <c r="D11" s="2" t="inlineStr">
        <is>
          <t>Noida Plant</t>
        </is>
      </c>
      <c r="E11" t="n">
        <v>162038</v>
      </c>
      <c r="G11" s="2" t="inlineStr">
        <is>
          <t>Galaxy S24</t>
        </is>
      </c>
      <c r="H11" t="n">
        <v>39937</v>
      </c>
    </row>
    <row r="12">
      <c r="A12" s="2" t="inlineStr">
        <is>
          <t>Vivo</t>
        </is>
      </c>
      <c r="B12" t="n">
        <v>171213</v>
      </c>
      <c r="D12" s="2" t="inlineStr">
        <is>
          <t>Pune Plant</t>
        </is>
      </c>
      <c r="E12" t="n">
        <v>174566</v>
      </c>
      <c r="G12" s="2" t="inlineStr">
        <is>
          <t>iPhone 15</t>
        </is>
      </c>
      <c r="H12" t="n">
        <v>43220</v>
      </c>
    </row>
    <row r="13">
      <c r="A13" s="2" t="inlineStr">
        <is>
          <t>Xiaomi</t>
        </is>
      </c>
      <c r="B13" t="n">
        <v>144227</v>
      </c>
      <c r="D13" s="2" t="inlineStr">
        <is>
          <t>Sriperumbudur Plant</t>
        </is>
      </c>
      <c r="E13" t="n">
        <v>151927</v>
      </c>
      <c r="G13" s="2" t="inlineStr">
        <is>
          <t>iPhone 16</t>
        </is>
      </c>
      <c r="H13" t="n">
        <v>76202</v>
      </c>
    </row>
    <row r="14">
      <c r="A14" s="2" t="inlineStr">
        <is>
          <t>Grand Total</t>
        </is>
      </c>
      <c r="B14" t="n">
        <v>812043</v>
      </c>
      <c r="D14" s="2" t="inlineStr">
        <is>
          <t>Unknown Plant</t>
        </is>
      </c>
      <c r="E14" t="n">
        <v>14569</v>
      </c>
      <c r="G14" s="2" t="inlineStr">
        <is>
          <t>iPhone 16 Plus</t>
        </is>
      </c>
      <c r="H14" t="n">
        <v>42835</v>
      </c>
    </row>
    <row r="15">
      <c r="D15" s="2" t="inlineStr">
        <is>
          <t>Grand Total</t>
        </is>
      </c>
      <c r="E15" t="n">
        <v>812043</v>
      </c>
      <c r="G15" s="2" t="inlineStr">
        <is>
          <t>OnePlus 13</t>
        </is>
      </c>
      <c r="H15" t="n">
        <v>59469</v>
      </c>
    </row>
    <row r="16">
      <c r="G16" s="2" t="inlineStr">
        <is>
          <t>OnePlus 13R</t>
        </is>
      </c>
      <c r="H16" t="n">
        <v>65435</v>
      </c>
    </row>
    <row r="17">
      <c r="G17" s="2" t="inlineStr">
        <is>
          <t>OnePlus Nord 5</t>
        </is>
      </c>
      <c r="H17" t="n">
        <v>42336</v>
      </c>
    </row>
    <row r="18">
      <c r="G18" s="2" t="inlineStr">
        <is>
          <t>Redmi 14C</t>
        </is>
      </c>
      <c r="H18" t="n">
        <v>38881</v>
      </c>
    </row>
    <row r="19">
      <c r="G19" s="2" t="inlineStr">
        <is>
          <t>Redmi Note 14</t>
        </is>
      </c>
      <c r="H19" t="n">
        <v>45410</v>
      </c>
    </row>
    <row r="20">
      <c r="G20" s="2" t="inlineStr">
        <is>
          <t>Vivo T3</t>
        </is>
      </c>
      <c r="H20" t="n">
        <v>49157</v>
      </c>
    </row>
    <row r="21">
      <c r="G21" s="2" t="inlineStr">
        <is>
          <t>Vivo V40</t>
        </is>
      </c>
      <c r="H21" t="n">
        <v>43464</v>
      </c>
    </row>
    <row r="22">
      <c r="G22" s="2" t="inlineStr">
        <is>
          <t>Vivo Y300</t>
        </is>
      </c>
      <c r="H22" t="n">
        <v>78592</v>
      </c>
    </row>
    <row r="23">
      <c r="G23" s="2" t="inlineStr">
        <is>
          <t>Xiaomi 14</t>
        </is>
      </c>
      <c r="H23" t="n">
        <v>59936</v>
      </c>
    </row>
    <row r="24">
      <c r="G24" s="2" t="inlineStr">
        <is>
          <t>Grand Total</t>
        </is>
      </c>
      <c r="H24" t="n">
        <v>812043</v>
      </c>
    </row>
    <row r="36" ht="26.25" customHeight="1" s="18">
      <c r="B36" s="40" t="inlineStr">
        <is>
          <t>Insights</t>
        </is>
      </c>
      <c r="D36" s="39" t="inlineStr">
        <is>
          <t>* Vivo has the highest production volume.</t>
        </is>
      </c>
      <c r="E36" s="20" t="n"/>
      <c r="F36" s="19" t="n"/>
    </row>
    <row r="37" ht="21" customHeight="1" s="18">
      <c r="D37" s="39" t="inlineStr">
        <is>
          <t>* Bengaluru Plant contributes the highest production.</t>
        </is>
      </c>
      <c r="F37" s="19" t="n"/>
    </row>
    <row r="38" ht="21" customHeight="1" s="18">
      <c r="D38" s="39" t="inlineStr">
        <is>
          <t>* Vivo Y300 is the most produced model.</t>
        </is>
      </c>
      <c r="E38" s="20" t="n"/>
      <c r="F38" s="19" t="n"/>
    </row>
  </sheetData>
  <mergeCells count="2">
    <mergeCell ref="D37:E37"/>
    <mergeCell ref="B36:C38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2"/>
  <sheetViews>
    <sheetView topLeftCell="A24" workbookViewId="0">
      <selection activeCell="D3" sqref="D3"/>
    </sheetView>
  </sheetViews>
  <sheetFormatPr baseColWidth="8" defaultRowHeight="15" outlineLevelCol="0"/>
  <cols>
    <col width="13.140625" bestFit="1" customWidth="1" style="18" min="1" max="1"/>
    <col width="19.85546875" bestFit="1" customWidth="1" style="18" min="2" max="2"/>
    <col width="19.7109375" bestFit="1" customWidth="1" style="18" min="4" max="4"/>
    <col width="16.140625" customWidth="1" style="18" min="5" max="5"/>
    <col width="21.7109375" customWidth="1" style="18" min="6" max="6"/>
    <col width="14.85546875" bestFit="1" customWidth="1" style="18" min="7" max="7"/>
    <col width="19.85546875" bestFit="1" customWidth="1" style="18" min="8" max="8"/>
  </cols>
  <sheetData>
    <row r="2" ht="21" customFormat="1" customHeight="1" s="23">
      <c r="B2" s="7" t="inlineStr">
        <is>
          <t>Total Sales</t>
        </is>
      </c>
      <c r="C2" s="24" t="n"/>
      <c r="D2" s="25" t="inlineStr">
        <is>
          <t>Average Sales</t>
        </is>
      </c>
      <c r="F2" s="26" t="inlineStr">
        <is>
          <t>Highest Sales</t>
        </is>
      </c>
      <c r="H2" s="27" t="inlineStr">
        <is>
          <t>Lowest Sales</t>
        </is>
      </c>
    </row>
    <row r="3" ht="21" customFormat="1" customHeight="1" s="23">
      <c r="B3" s="7">
        <f>SUM('Cleaned Data'!I:I)</f>
        <v/>
      </c>
      <c r="D3" s="25">
        <f>ROUND(AVERAGE('Cleaned Data'!I:I), 0)</f>
        <v/>
      </c>
      <c r="F3" s="26">
        <f>MAX('Cleaned Data'!I:I)</f>
        <v/>
      </c>
      <c r="H3" s="27">
        <f>MIN('Cleaned Data'!I:I)</f>
        <v/>
      </c>
    </row>
    <row r="5">
      <c r="G5" s="17" t="inlineStr">
        <is>
          <t>Row Labels</t>
        </is>
      </c>
      <c r="H5" t="inlineStr">
        <is>
          <t>Sum of Quantity Sold</t>
        </is>
      </c>
    </row>
    <row r="6">
      <c r="G6" s="2" t="inlineStr">
        <is>
          <t>Vivo Y300</t>
        </is>
      </c>
      <c r="H6" t="n">
        <v>62246</v>
      </c>
    </row>
    <row r="7">
      <c r="G7" s="2" t="inlineStr">
        <is>
          <t>iPhone 16</t>
        </is>
      </c>
      <c r="H7" t="n">
        <v>61231</v>
      </c>
    </row>
    <row r="8" ht="30" customHeight="1" s="18">
      <c r="A8" s="17" t="inlineStr">
        <is>
          <t>Row Labels</t>
        </is>
      </c>
      <c r="B8" t="inlineStr">
        <is>
          <t>Sum of Quantity Sold</t>
        </is>
      </c>
      <c r="D8" s="17" t="inlineStr">
        <is>
          <t>Row Labels</t>
        </is>
      </c>
      <c r="E8" s="22" t="inlineStr">
        <is>
          <t>Sum of Quantity Sold</t>
        </is>
      </c>
      <c r="G8" s="2" t="inlineStr">
        <is>
          <t>Galaxy A55</t>
        </is>
      </c>
      <c r="H8" t="n">
        <v>56200</v>
      </c>
    </row>
    <row r="9">
      <c r="A9" s="2" t="inlineStr">
        <is>
          <t>Apple</t>
        </is>
      </c>
      <c r="B9" t="n">
        <v>130533</v>
      </c>
      <c r="D9" s="2" t="inlineStr">
        <is>
          <t>Bengaluru Plant</t>
        </is>
      </c>
      <c r="E9" t="n">
        <v>142085</v>
      </c>
      <c r="G9" s="2" t="inlineStr">
        <is>
          <t>OnePlus 13R</t>
        </is>
      </c>
      <c r="H9" t="n">
        <v>51926</v>
      </c>
    </row>
    <row r="10">
      <c r="A10" s="2" t="inlineStr">
        <is>
          <t>Oneplus</t>
        </is>
      </c>
      <c r="B10" t="n">
        <v>130390</v>
      </c>
      <c r="D10" s="2" t="inlineStr">
        <is>
          <t>Chennai Plant</t>
        </is>
      </c>
      <c r="E10" t="n">
        <v>106906</v>
      </c>
      <c r="G10" s="2" t="inlineStr">
        <is>
          <t>Xiaomi 14</t>
        </is>
      </c>
      <c r="H10" t="n">
        <v>48709</v>
      </c>
    </row>
    <row r="11">
      <c r="A11" s="2" t="inlineStr">
        <is>
          <t>Samsung</t>
        </is>
      </c>
      <c r="B11" t="n">
        <v>130382</v>
      </c>
      <c r="D11" s="2" t="inlineStr">
        <is>
          <t>Noida Plant</t>
        </is>
      </c>
      <c r="E11" t="n">
        <v>124925</v>
      </c>
      <c r="G11" s="2" t="inlineStr">
        <is>
          <t>OnePlus 13</t>
        </is>
      </c>
      <c r="H11" t="n">
        <v>45183</v>
      </c>
    </row>
    <row r="12" ht="18.75" customHeight="1" s="18">
      <c r="A12" s="2" t="inlineStr">
        <is>
          <t>Vivo</t>
        </is>
      </c>
      <c r="B12" t="n">
        <v>134317</v>
      </c>
      <c r="D12" s="2" t="inlineStr">
        <is>
          <t>Pune Plant</t>
        </is>
      </c>
      <c r="E12" t="n">
        <v>138095</v>
      </c>
      <c r="G12" s="2" t="inlineStr">
        <is>
          <t>Galaxy M35</t>
        </is>
      </c>
      <c r="H12" t="n">
        <v>43792</v>
      </c>
      <c r="M12" s="19" t="n"/>
    </row>
    <row r="13">
      <c r="A13" s="2" t="inlineStr">
        <is>
          <t>Xiaomi</t>
        </is>
      </c>
      <c r="B13" t="n">
        <v>115725</v>
      </c>
      <c r="D13" s="2" t="inlineStr">
        <is>
          <t>Sriperumbudur Plant</t>
        </is>
      </c>
      <c r="E13" t="n">
        <v>117214</v>
      </c>
      <c r="G13" s="2" t="inlineStr">
        <is>
          <t>Vivo T3</t>
        </is>
      </c>
      <c r="H13" t="n">
        <v>37042</v>
      </c>
    </row>
    <row r="14">
      <c r="A14" s="2" t="inlineStr">
        <is>
          <t>Grand Total</t>
        </is>
      </c>
      <c r="B14" t="n">
        <v>641347</v>
      </c>
      <c r="D14" s="2" t="inlineStr">
        <is>
          <t>Unknown Plant</t>
        </is>
      </c>
      <c r="E14" t="n">
        <v>12122</v>
      </c>
      <c r="G14" s="2" t="inlineStr">
        <is>
          <t>Redmi Note 14</t>
        </is>
      </c>
      <c r="H14" t="n">
        <v>36098</v>
      </c>
    </row>
    <row r="15">
      <c r="D15" s="2" t="inlineStr">
        <is>
          <t>Grand Total</t>
        </is>
      </c>
      <c r="E15" t="n">
        <v>641347</v>
      </c>
      <c r="G15" s="2" t="inlineStr">
        <is>
          <t>iPhone 16 Plus</t>
        </is>
      </c>
      <c r="H15" t="n">
        <v>35130</v>
      </c>
    </row>
    <row r="16">
      <c r="G16" s="2" t="inlineStr">
        <is>
          <t>Vivo V40</t>
        </is>
      </c>
      <c r="H16" t="n">
        <v>35029</v>
      </c>
    </row>
    <row r="17">
      <c r="G17" s="2" t="inlineStr">
        <is>
          <t>iPhone 15</t>
        </is>
      </c>
      <c r="H17" t="n">
        <v>34172</v>
      </c>
    </row>
    <row r="18">
      <c r="G18" s="2" t="inlineStr">
        <is>
          <t>OnePlus Nord 5</t>
        </is>
      </c>
      <c r="H18" t="n">
        <v>33281</v>
      </c>
    </row>
    <row r="19">
      <c r="G19" s="2" t="inlineStr">
        <is>
          <t>Redmi 14C</t>
        </is>
      </c>
      <c r="H19" t="n">
        <v>30918</v>
      </c>
    </row>
    <row r="20">
      <c r="G20" s="2" t="inlineStr">
        <is>
          <t>Galaxy S24</t>
        </is>
      </c>
      <c r="H20" t="n">
        <v>30390</v>
      </c>
    </row>
    <row r="21">
      <c r="G21" s="2" t="inlineStr">
        <is>
          <t>Grand Total</t>
        </is>
      </c>
      <c r="H21" t="n">
        <v>641347</v>
      </c>
    </row>
    <row r="39" ht="26.25" customHeight="1" s="18">
      <c r="B39" s="42" t="inlineStr">
        <is>
          <t>Insights</t>
        </is>
      </c>
      <c r="D39" s="41" t="inlineStr">
        <is>
          <t>* Vivo generated the highest sales volume.</t>
        </is>
      </c>
      <c r="G39" s="39" t="n"/>
      <c r="H39" s="31" t="n"/>
    </row>
    <row r="40" ht="26.25" customHeight="1" s="18">
      <c r="D40" s="41" t="inlineStr">
        <is>
          <t>* Vivo Y300 is the best-selling model, indicating high customer demand.</t>
        </is>
      </c>
      <c r="E40" s="39" t="n"/>
      <c r="F40" s="39" t="n"/>
      <c r="G40" s="39" t="n"/>
      <c r="H40" s="31" t="n"/>
    </row>
    <row r="41" ht="26.25" customHeight="1" s="18">
      <c r="D41" s="41" t="inlineStr">
        <is>
          <t>* Bengaluru Plant contributed the highest sales.</t>
        </is>
      </c>
      <c r="E41" s="39" t="n"/>
      <c r="F41" s="39" t="n"/>
      <c r="G41" s="39" t="n"/>
      <c r="H41" s="31" t="n"/>
    </row>
    <row r="42">
      <c r="D42" s="28" t="n"/>
    </row>
  </sheetData>
  <mergeCells count="2">
    <mergeCell ref="D39:F39"/>
    <mergeCell ref="B39:C41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R61"/>
  <sheetViews>
    <sheetView topLeftCell="A42" zoomScale="95" zoomScaleNormal="95" workbookViewId="0">
      <selection activeCell="D24" sqref="D24"/>
    </sheetView>
  </sheetViews>
  <sheetFormatPr baseColWidth="8" defaultRowHeight="15" outlineLevelCol="0"/>
  <cols>
    <col width="14.85546875" bestFit="1" customWidth="1" style="18" min="3" max="3"/>
    <col width="19.140625" customWidth="1" style="18" min="4" max="4"/>
    <col width="13.140625" customWidth="1" style="18" min="7" max="7"/>
    <col width="9.28515625" customWidth="1" style="18" min="11" max="11"/>
  </cols>
  <sheetData>
    <row r="2" ht="18.75" customHeight="1" s="18">
      <c r="B2" s="45" t="inlineStr">
        <is>
          <t>Total Revenue(in lakhs)</t>
        </is>
      </c>
      <c r="E2" s="47" t="inlineStr">
        <is>
          <t>Average Revenue(in lakhs)</t>
        </is>
      </c>
      <c r="I2" s="37" t="inlineStr">
        <is>
          <t xml:space="preserve">   Highest Revenue(in lakhs)</t>
        </is>
      </c>
      <c r="J2" s="37" t="n"/>
      <c r="K2" s="37" t="n"/>
      <c r="L2" s="38" t="n"/>
      <c r="N2" s="43" t="inlineStr">
        <is>
          <t>Lowest Revenue(in lakhs)</t>
        </is>
      </c>
    </row>
    <row r="3" ht="21" customHeight="1" s="18">
      <c r="B3" s="46">
        <f>SUM(Table1[Revenue (Crores)])</f>
        <v/>
      </c>
      <c r="E3" s="48">
        <f>ROUND(AVERAGE(Table1[Revenue (Crores)]),0)</f>
        <v/>
      </c>
      <c r="I3" s="49">
        <f>MAX(Table1[Revenue (Crores)])</f>
        <v/>
      </c>
      <c r="N3" s="43">
        <f>MIN(Table1[Revenue (Crores)])</f>
        <v/>
      </c>
    </row>
    <row r="8" ht="30" customHeight="1" s="18">
      <c r="C8" s="17" t="inlineStr">
        <is>
          <t>Row Labels</t>
        </is>
      </c>
      <c r="D8" s="22" t="inlineStr">
        <is>
          <t>Sum of Revenue (Lakhs)</t>
        </is>
      </c>
    </row>
    <row r="9">
      <c r="C9" s="2" t="inlineStr">
        <is>
          <t>Apple</t>
        </is>
      </c>
      <c r="D9" t="n">
        <v>97452</v>
      </c>
    </row>
    <row r="10">
      <c r="C10" s="2" t="inlineStr">
        <is>
          <t>Oneplus</t>
        </is>
      </c>
      <c r="D10" t="n">
        <v>81796</v>
      </c>
    </row>
    <row r="11">
      <c r="C11" s="2" t="inlineStr">
        <is>
          <t>Samsung</t>
        </is>
      </c>
      <c r="D11" t="n">
        <v>85889</v>
      </c>
    </row>
    <row r="12">
      <c r="C12" s="2" t="inlineStr">
        <is>
          <t>Vivo</t>
        </is>
      </c>
      <c r="D12" t="n">
        <v>91271</v>
      </c>
    </row>
    <row r="13">
      <c r="C13" s="2" t="inlineStr">
        <is>
          <t>Xiaomi</t>
        </is>
      </c>
      <c r="D13" t="n">
        <v>75077</v>
      </c>
    </row>
    <row r="14">
      <c r="C14" s="2" t="inlineStr">
        <is>
          <t>Grand Total</t>
        </is>
      </c>
      <c r="D14" t="n">
        <v>431485</v>
      </c>
    </row>
    <row r="25">
      <c r="C25" s="17" t="inlineStr">
        <is>
          <t>Row Labels</t>
        </is>
      </c>
      <c r="D25" t="inlineStr">
        <is>
          <t>Sum of Revenue (Lakhs)</t>
        </is>
      </c>
    </row>
    <row r="26">
      <c r="C26" s="2" t="inlineStr">
        <is>
          <t>Bengaluru Plant</t>
        </is>
      </c>
      <c r="D26" t="n">
        <v>93530</v>
      </c>
    </row>
    <row r="27">
      <c r="C27" s="2" t="inlineStr">
        <is>
          <t>Chennai Plant</t>
        </is>
      </c>
      <c r="D27" t="n">
        <v>69804</v>
      </c>
    </row>
    <row r="28">
      <c r="C28" s="2" t="inlineStr">
        <is>
          <t>Noida Plant</t>
        </is>
      </c>
      <c r="D28" t="n">
        <v>94173</v>
      </c>
    </row>
    <row r="29">
      <c r="C29" s="2" t="inlineStr">
        <is>
          <t>Pune Plant</t>
        </is>
      </c>
      <c r="D29" t="n">
        <v>85252</v>
      </c>
    </row>
    <row r="30">
      <c r="C30" s="2" t="inlineStr">
        <is>
          <t>Sriperumbudur Plant</t>
        </is>
      </c>
      <c r="D30" t="n">
        <v>83144</v>
      </c>
    </row>
    <row r="31">
      <c r="C31" s="2" t="inlineStr">
        <is>
          <t>Unknown Plant</t>
        </is>
      </c>
      <c r="D31" t="n">
        <v>5582</v>
      </c>
    </row>
    <row r="32">
      <c r="C32" s="2" t="inlineStr">
        <is>
          <t>Grand Total</t>
        </is>
      </c>
      <c r="D32" t="n">
        <v>431485</v>
      </c>
    </row>
    <row r="38">
      <c r="C38" s="17" t="inlineStr">
        <is>
          <t>Row Labels</t>
        </is>
      </c>
      <c r="D38" t="inlineStr">
        <is>
          <t>Sum of Revenue (Lakhs)</t>
        </is>
      </c>
    </row>
    <row r="39">
      <c r="C39" s="2" t="inlineStr">
        <is>
          <t>Galaxy A55</t>
        </is>
      </c>
      <c r="D39" t="n">
        <v>39701</v>
      </c>
    </row>
    <row r="40">
      <c r="C40" s="2" t="inlineStr">
        <is>
          <t>Galaxy M35</t>
        </is>
      </c>
      <c r="D40" t="n">
        <v>25165</v>
      </c>
    </row>
    <row r="41">
      <c r="C41" s="2" t="inlineStr">
        <is>
          <t>Galaxy S24</t>
        </is>
      </c>
      <c r="D41" t="n">
        <v>21023</v>
      </c>
    </row>
    <row r="42">
      <c r="C42" s="2" t="inlineStr">
        <is>
          <t>iPhone 15</t>
        </is>
      </c>
      <c r="D42" t="n">
        <v>22518</v>
      </c>
    </row>
    <row r="43">
      <c r="C43" s="2" t="inlineStr">
        <is>
          <t>iPhone 16</t>
        </is>
      </c>
      <c r="D43" t="n">
        <v>42298</v>
      </c>
    </row>
    <row r="44">
      <c r="C44" s="2" t="inlineStr">
        <is>
          <t>iPhone 16 Plus</t>
        </is>
      </c>
      <c r="D44" t="n">
        <v>32636</v>
      </c>
    </row>
    <row r="45">
      <c r="C45" s="2" t="inlineStr">
        <is>
          <t>OnePlus 13</t>
        </is>
      </c>
      <c r="D45" t="n">
        <v>26450</v>
      </c>
    </row>
    <row r="46">
      <c r="C46" s="2" t="inlineStr">
        <is>
          <t>OnePlus 13R</t>
        </is>
      </c>
      <c r="D46" t="n">
        <v>31483</v>
      </c>
    </row>
    <row r="47">
      <c r="C47" s="2" t="inlineStr">
        <is>
          <t>OnePlus Nord 5</t>
        </is>
      </c>
      <c r="D47" t="n">
        <v>23863</v>
      </c>
    </row>
    <row r="48">
      <c r="C48" s="2" t="inlineStr">
        <is>
          <t>Redmi 14C</t>
        </is>
      </c>
      <c r="D48" t="n">
        <v>18031</v>
      </c>
    </row>
    <row r="49">
      <c r="C49" s="2" t="inlineStr">
        <is>
          <t>Redmi Note 14</t>
        </is>
      </c>
      <c r="D49" t="n">
        <v>24939</v>
      </c>
    </row>
    <row r="50">
      <c r="C50" s="2" t="inlineStr">
        <is>
          <t>Vivo T3</t>
        </is>
      </c>
      <c r="D50" t="n">
        <v>30952</v>
      </c>
    </row>
    <row r="51">
      <c r="C51" s="2" t="inlineStr">
        <is>
          <t>Vivo V40</t>
        </is>
      </c>
      <c r="D51" t="n">
        <v>20070</v>
      </c>
    </row>
    <row r="52">
      <c r="C52" s="2" t="inlineStr">
        <is>
          <t>Vivo Y300</t>
        </is>
      </c>
      <c r="D52" t="n">
        <v>40249</v>
      </c>
    </row>
    <row r="53">
      <c r="C53" s="2" t="inlineStr">
        <is>
          <t>Xiaomi 14</t>
        </is>
      </c>
      <c r="D53" t="n">
        <v>32107</v>
      </c>
    </row>
    <row r="54">
      <c r="C54" s="2" t="inlineStr">
        <is>
          <t>Grand Total</t>
        </is>
      </c>
      <c r="D54" t="n">
        <v>431485</v>
      </c>
    </row>
    <row r="58" ht="21" customHeight="1" s="18">
      <c r="C58" s="44" t="inlineStr">
        <is>
          <t>Insights</t>
        </is>
      </c>
      <c r="E58" s="36" t="inlineStr">
        <is>
          <t>* Apple is the highest revenue-generating brand with 97,452 Lakhs.</t>
        </is>
      </c>
      <c r="F58" s="33" t="n"/>
      <c r="G58" s="33" t="n"/>
      <c r="H58" s="34" t="n"/>
      <c r="I58" s="34" t="n"/>
      <c r="J58" s="34" t="n"/>
      <c r="K58" s="34" t="n"/>
      <c r="L58" s="34" t="n"/>
      <c r="M58" s="34" t="n"/>
      <c r="N58" s="34" t="n"/>
      <c r="O58" s="35" t="n"/>
      <c r="P58" s="35" t="n"/>
      <c r="Q58" s="35" t="n"/>
      <c r="R58" s="35" t="n"/>
    </row>
    <row r="59" ht="21" customHeight="1" s="18">
      <c r="E59" s="36" t="inlineStr">
        <is>
          <t>* Bengaluru Plant generated the highest revenue among all manufacturing plants.</t>
        </is>
      </c>
      <c r="F59" s="33" t="n"/>
      <c r="G59" s="33" t="n"/>
      <c r="H59" s="34" t="n"/>
      <c r="I59" s="34" t="n"/>
      <c r="J59" s="34" t="n"/>
      <c r="K59" s="34" t="n"/>
      <c r="L59" s="34" t="n"/>
      <c r="M59" s="34" t="n"/>
      <c r="N59" s="34" t="n"/>
      <c r="O59" s="35" t="n"/>
      <c r="P59" s="35" t="n"/>
      <c r="Q59" s="35" t="n"/>
      <c r="R59" s="35" t="n"/>
    </row>
    <row r="60" ht="21" customHeight="1" s="18">
      <c r="E60" s="33" t="inlineStr">
        <is>
          <t>* iPhone 16 is the highest revenue-generating smartphone model.</t>
        </is>
      </c>
      <c r="F60" s="33" t="n"/>
      <c r="G60" s="33" t="n"/>
      <c r="H60" s="34" t="n"/>
      <c r="I60" s="34" t="n"/>
      <c r="J60" s="34" t="n"/>
      <c r="K60" s="34" t="n"/>
      <c r="L60" s="34" t="n"/>
      <c r="M60" s="34" t="n"/>
      <c r="N60" s="34" t="n"/>
      <c r="O60" s="35" t="n"/>
      <c r="P60" s="35" t="n"/>
      <c r="Q60" s="35" t="n"/>
      <c r="R60" s="35" t="n"/>
    </row>
    <row r="61" ht="21" customHeight="1" s="18">
      <c r="E61" s="33" t="inlineStr">
        <is>
          <t>* Premium smartphones contribute significantly to overall business revenue despite higher prices.</t>
        </is>
      </c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</row>
  </sheetData>
  <mergeCells count="8">
    <mergeCell ref="E2:G2"/>
    <mergeCell ref="B2:C2"/>
    <mergeCell ref="C58:D61"/>
    <mergeCell ref="I3:L3"/>
    <mergeCell ref="B3:C3"/>
    <mergeCell ref="N3:Q3"/>
    <mergeCell ref="E3:G3"/>
    <mergeCell ref="N2:Q2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P70"/>
  <sheetViews>
    <sheetView workbookViewId="0">
      <selection activeCell="M3" sqref="M3:P3"/>
    </sheetView>
  </sheetViews>
  <sheetFormatPr baseColWidth="8" defaultRowHeight="15" outlineLevelCol="0"/>
  <cols>
    <col width="15.140625" customWidth="1" style="18" min="3" max="3"/>
    <col width="14.85546875" bestFit="1" customWidth="1" style="18" min="4" max="4"/>
    <col width="22.42578125" bestFit="1" customWidth="1" style="18" min="5" max="5"/>
    <col width="14.7109375" customWidth="1" style="18" min="7" max="7"/>
    <col width="14.7109375" customWidth="1" style="18" min="11" max="11"/>
  </cols>
  <sheetData>
    <row r="2" ht="21" customHeight="1" s="18">
      <c r="B2" s="53" t="inlineStr">
        <is>
          <t>Total Inventory</t>
        </is>
      </c>
      <c r="E2" s="54" t="inlineStr">
        <is>
          <t>Total Inventory Sold</t>
        </is>
      </c>
      <c r="I2" s="50" t="inlineStr">
        <is>
          <t>Total Unsold Inventory</t>
        </is>
      </c>
      <c r="M2" s="51" t="inlineStr">
        <is>
          <t>Inventory Utilization %</t>
        </is>
      </c>
    </row>
    <row r="3" ht="21" customHeight="1" s="18">
      <c r="B3" s="53">
        <f>SUM('Cleaned Data'!H:H)</f>
        <v/>
      </c>
      <c r="E3" s="54">
        <f>SUM('Cleaned Data'!I:I)</f>
        <v/>
      </c>
      <c r="I3" s="50">
        <f>SUM('Cleaned Data'!O:O)</f>
        <v/>
      </c>
      <c r="M3" s="52">
        <f>(SUM(Table1[Quantity Sold])/SUM(Table1[Quantity Produced]))</f>
        <v/>
      </c>
    </row>
    <row r="9">
      <c r="D9" s="17" t="inlineStr">
        <is>
          <t>Row Labels</t>
        </is>
      </c>
      <c r="E9" t="inlineStr">
        <is>
          <t>Sum of Unsold Quantity</t>
        </is>
      </c>
    </row>
    <row r="10">
      <c r="D10" s="2" t="inlineStr">
        <is>
          <t>Apple</t>
        </is>
      </c>
      <c r="E10" t="n">
        <v>31724</v>
      </c>
    </row>
    <row r="11">
      <c r="D11" s="2" t="inlineStr">
        <is>
          <t>Oneplus</t>
        </is>
      </c>
      <c r="E11" t="n">
        <v>36850</v>
      </c>
    </row>
    <row r="12">
      <c r="D12" s="2" t="inlineStr">
        <is>
          <t>Samsung</t>
        </is>
      </c>
      <c r="E12" t="n">
        <v>36724</v>
      </c>
    </row>
    <row r="13">
      <c r="D13" s="2" t="inlineStr">
        <is>
          <t>Vivo</t>
        </is>
      </c>
      <c r="E13" t="n">
        <v>36896</v>
      </c>
    </row>
    <row r="14">
      <c r="D14" s="2" t="inlineStr">
        <is>
          <t>Xiaomi</t>
        </is>
      </c>
      <c r="E14" t="n">
        <v>28502</v>
      </c>
    </row>
    <row r="15">
      <c r="D15" s="2" t="inlineStr">
        <is>
          <t>Grand Total</t>
        </is>
      </c>
      <c r="E15" t="n">
        <v>170696</v>
      </c>
    </row>
    <row r="26">
      <c r="D26" s="17" t="inlineStr">
        <is>
          <t>Row Labels</t>
        </is>
      </c>
      <c r="E26" t="inlineStr">
        <is>
          <t>Sum of Unsold Quantity</t>
        </is>
      </c>
    </row>
    <row r="27">
      <c r="D27" s="2" t="inlineStr">
        <is>
          <t>Bengaluru Plant</t>
        </is>
      </c>
      <c r="E27" t="n">
        <v>34665</v>
      </c>
    </row>
    <row r="28">
      <c r="D28" s="2" t="inlineStr">
        <is>
          <t>Chennai Plant</t>
        </is>
      </c>
      <c r="E28" t="n">
        <v>25287</v>
      </c>
    </row>
    <row r="29">
      <c r="D29" s="2" t="inlineStr">
        <is>
          <t>Noida Plant</t>
        </is>
      </c>
      <c r="E29" t="n">
        <v>37113</v>
      </c>
    </row>
    <row r="30">
      <c r="D30" s="2" t="inlineStr">
        <is>
          <t>Pune Plant</t>
        </is>
      </c>
      <c r="E30" t="n">
        <v>36471</v>
      </c>
    </row>
    <row r="31">
      <c r="D31" s="2" t="inlineStr">
        <is>
          <t>Sriperumbudur Plant</t>
        </is>
      </c>
      <c r="E31" t="n">
        <v>34713</v>
      </c>
    </row>
    <row r="32">
      <c r="D32" s="2" t="inlineStr">
        <is>
          <t>Unknown Plant</t>
        </is>
      </c>
      <c r="E32" t="n">
        <v>2447</v>
      </c>
    </row>
    <row r="33">
      <c r="D33" s="2" t="inlineStr">
        <is>
          <t>Grand Total</t>
        </is>
      </c>
      <c r="E33" t="n">
        <v>170696</v>
      </c>
    </row>
    <row r="41">
      <c r="D41" s="17" t="inlineStr">
        <is>
          <t>Row Labels</t>
        </is>
      </c>
      <c r="E41" t="inlineStr">
        <is>
          <t>Sum of Unsold Quantity</t>
        </is>
      </c>
    </row>
    <row r="42">
      <c r="D42" s="2" t="inlineStr">
        <is>
          <t>iPhone 16 Plus</t>
        </is>
      </c>
      <c r="E42" t="n">
        <v>7705</v>
      </c>
    </row>
    <row r="43">
      <c r="D43" s="2" t="inlineStr">
        <is>
          <t>Redmi 14C</t>
        </is>
      </c>
      <c r="E43" t="n">
        <v>7963</v>
      </c>
    </row>
    <row r="44">
      <c r="D44" s="2" t="inlineStr">
        <is>
          <t>Vivo V40</t>
        </is>
      </c>
      <c r="E44" t="n">
        <v>8435</v>
      </c>
    </row>
    <row r="45">
      <c r="D45" s="2" t="inlineStr">
        <is>
          <t>iPhone 15</t>
        </is>
      </c>
      <c r="E45" t="n">
        <v>9048</v>
      </c>
    </row>
    <row r="46">
      <c r="D46" s="2" t="inlineStr">
        <is>
          <t>OnePlus Nord 5</t>
        </is>
      </c>
      <c r="E46" t="n">
        <v>9055</v>
      </c>
    </row>
    <row r="47">
      <c r="D47" s="2" t="inlineStr">
        <is>
          <t>Redmi Note 14</t>
        </is>
      </c>
      <c r="E47" t="n">
        <v>9312</v>
      </c>
    </row>
    <row r="48">
      <c r="D48" s="2" t="inlineStr">
        <is>
          <t>Galaxy S24</t>
        </is>
      </c>
      <c r="E48" t="n">
        <v>9547</v>
      </c>
    </row>
    <row r="49">
      <c r="D49" s="2" t="inlineStr">
        <is>
          <t>Xiaomi 14</t>
        </is>
      </c>
      <c r="E49" t="n">
        <v>11227</v>
      </c>
    </row>
    <row r="50">
      <c r="D50" s="2" t="inlineStr">
        <is>
          <t>Vivo T3</t>
        </is>
      </c>
      <c r="E50" t="n">
        <v>12115</v>
      </c>
    </row>
    <row r="51">
      <c r="D51" s="2" t="inlineStr">
        <is>
          <t>Galaxy M35</t>
        </is>
      </c>
      <c r="E51" t="n">
        <v>13114</v>
      </c>
    </row>
    <row r="52">
      <c r="D52" s="2" t="inlineStr">
        <is>
          <t>OnePlus 13R</t>
        </is>
      </c>
      <c r="E52" t="n">
        <v>13509</v>
      </c>
    </row>
    <row r="53">
      <c r="D53" s="2" t="inlineStr">
        <is>
          <t>Galaxy A55</t>
        </is>
      </c>
      <c r="E53" t="n">
        <v>14063</v>
      </c>
    </row>
    <row r="54">
      <c r="D54" s="2" t="inlineStr">
        <is>
          <t>OnePlus 13</t>
        </is>
      </c>
      <c r="E54" t="n">
        <v>14286</v>
      </c>
    </row>
    <row r="55">
      <c r="D55" s="2" t="inlineStr">
        <is>
          <t>iPhone 16</t>
        </is>
      </c>
      <c r="E55" t="n">
        <v>14971</v>
      </c>
    </row>
    <row r="56">
      <c r="D56" s="2" t="inlineStr">
        <is>
          <t>Vivo Y300</t>
        </is>
      </c>
      <c r="E56" t="n">
        <v>16346</v>
      </c>
    </row>
    <row r="57">
      <c r="D57" s="2" t="inlineStr">
        <is>
          <t>Grand Total</t>
        </is>
      </c>
      <c r="E57" t="n">
        <v>170696</v>
      </c>
    </row>
    <row r="67" ht="21" customHeight="1" s="18">
      <c r="C67" s="42" t="inlineStr">
        <is>
          <t>Insights</t>
        </is>
      </c>
      <c r="E67" s="36" t="inlineStr">
        <is>
          <t>* Vivo recorded the highest unsold inventory (36,896 units).</t>
        </is>
      </c>
      <c r="F67" s="36" t="n"/>
      <c r="G67" s="39" t="n"/>
      <c r="H67" s="39" t="n"/>
      <c r="I67" s="39" t="n"/>
      <c r="J67" s="39" t="n"/>
      <c r="K67" s="39" t="n"/>
      <c r="L67" s="39" t="n"/>
      <c r="M67" s="35" t="n"/>
      <c r="N67" s="35" t="n"/>
      <c r="O67" s="35" t="n"/>
    </row>
    <row r="68" ht="21" customHeight="1" s="18">
      <c r="E68" s="36" t="inlineStr">
        <is>
          <t>* Noida Plant has the highest remaining stock (37,113 units).</t>
        </is>
      </c>
      <c r="F68" s="36" t="n"/>
      <c r="G68" s="39" t="n"/>
      <c r="H68" s="39" t="n"/>
      <c r="I68" s="39" t="n"/>
      <c r="J68" s="39" t="n"/>
      <c r="K68" s="39" t="n"/>
      <c r="L68" s="39" t="n"/>
      <c r="M68" s="35" t="n"/>
      <c r="N68" s="35" t="n"/>
      <c r="O68" s="35" t="n"/>
    </row>
    <row r="69" ht="21" customHeight="1" s="18">
      <c r="E69" s="36" t="inlineStr">
        <is>
          <t>* Vivo Y300 is the model with the highest unsold quantity (16,346 units).</t>
        </is>
      </c>
      <c r="F69" s="36" t="n"/>
      <c r="G69" s="39" t="n"/>
      <c r="H69" s="39" t="n"/>
      <c r="I69" s="39" t="n"/>
      <c r="J69" s="39" t="n"/>
      <c r="K69" s="39" t="n"/>
      <c r="L69" s="39" t="n"/>
      <c r="M69" s="35" t="n"/>
      <c r="N69" s="35" t="n"/>
      <c r="O69" s="35" t="n"/>
    </row>
    <row r="70" ht="21" customHeight="1" s="18">
      <c r="E70" s="33" t="inlineStr">
        <is>
          <t>* Better demand forecasting can help reduce excess inventory and improve inventory utilization.</t>
        </is>
      </c>
      <c r="F70" s="33" t="n"/>
      <c r="G70" s="39" t="n"/>
      <c r="H70" s="39" t="n"/>
      <c r="I70" s="39" t="n"/>
      <c r="J70" s="39" t="n"/>
      <c r="K70" s="39" t="n"/>
      <c r="L70" s="39" t="n"/>
      <c r="M70" s="35" t="n"/>
      <c r="N70" s="35" t="n"/>
      <c r="O70" s="35" t="n"/>
    </row>
  </sheetData>
  <mergeCells count="9">
    <mergeCell ref="E2:G2"/>
    <mergeCell ref="B2:C2"/>
    <mergeCell ref="I2:K2"/>
    <mergeCell ref="M3:P3"/>
    <mergeCell ref="C67:D70"/>
    <mergeCell ref="B3:C3"/>
    <mergeCell ref="M2:P2"/>
    <mergeCell ref="E3:G3"/>
    <mergeCell ref="I3:K3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2:Q71"/>
  <sheetViews>
    <sheetView tabSelected="1" topLeftCell="A54" workbookViewId="0">
      <selection activeCell="E10" sqref="E10"/>
    </sheetView>
  </sheetViews>
  <sheetFormatPr baseColWidth="8" defaultRowHeight="15" outlineLevelCol="0"/>
  <cols>
    <col width="13.140625" bestFit="1" customWidth="1" style="18" min="4" max="4"/>
    <col width="23.85546875" customWidth="1" style="18" min="5" max="5"/>
  </cols>
  <sheetData>
    <row r="2" ht="21" customHeight="1" s="18">
      <c r="C2" s="55" t="inlineStr">
        <is>
          <t>Total Production</t>
        </is>
      </c>
      <c r="H2" s="56" t="inlineStr">
        <is>
          <t>Total Sales</t>
        </is>
      </c>
      <c r="M2" s="57" t="inlineStr">
        <is>
          <t>Total Revenue(in Crores)</t>
        </is>
      </c>
    </row>
    <row r="3" ht="21" customHeight="1" s="18">
      <c r="C3" s="55">
        <f>SUM(Table1[Quantity Produced])</f>
        <v/>
      </c>
      <c r="H3" s="56">
        <f>SUM(Table1[Quantity Sold])</f>
        <v/>
      </c>
      <c r="M3" s="57">
        <f>SUM(Table1[Revenue (Crores)])</f>
        <v/>
      </c>
    </row>
    <row r="10">
      <c r="D10" s="17" t="inlineStr">
        <is>
          <t>Row Labels</t>
        </is>
      </c>
      <c r="E10" t="inlineStr">
        <is>
          <t>Sum of Quantity Produced</t>
        </is>
      </c>
    </row>
    <row r="11">
      <c r="D11" s="2" t="inlineStr">
        <is>
          <t>January</t>
        </is>
      </c>
      <c r="E11" t="n">
        <v>61476</v>
      </c>
    </row>
    <row r="12">
      <c r="D12" s="2" t="inlineStr">
        <is>
          <t>February</t>
        </is>
      </c>
      <c r="E12" t="n">
        <v>71432</v>
      </c>
    </row>
    <row r="13">
      <c r="D13" s="2" t="inlineStr">
        <is>
          <t>March</t>
        </is>
      </c>
      <c r="E13" t="n">
        <v>50498</v>
      </c>
    </row>
    <row r="14">
      <c r="D14" s="2" t="inlineStr">
        <is>
          <t>April</t>
        </is>
      </c>
      <c r="E14" t="n">
        <v>56831</v>
      </c>
    </row>
    <row r="15">
      <c r="D15" s="2" t="inlineStr">
        <is>
          <t>May</t>
        </is>
      </c>
      <c r="E15" t="n">
        <v>79080</v>
      </c>
    </row>
    <row r="16">
      <c r="D16" s="2" t="inlineStr">
        <is>
          <t>June</t>
        </is>
      </c>
      <c r="E16" t="n">
        <v>81788</v>
      </c>
    </row>
    <row r="17">
      <c r="D17" s="2" t="inlineStr">
        <is>
          <t>July</t>
        </is>
      </c>
      <c r="E17" t="n">
        <v>60864</v>
      </c>
    </row>
    <row r="18">
      <c r="D18" s="2" t="inlineStr">
        <is>
          <t>August</t>
        </is>
      </c>
      <c r="E18" t="n">
        <v>85251</v>
      </c>
    </row>
    <row r="19">
      <c r="D19" s="2" t="inlineStr">
        <is>
          <t>September</t>
        </is>
      </c>
      <c r="E19" t="n">
        <v>44584</v>
      </c>
    </row>
    <row r="20">
      <c r="D20" s="2" t="inlineStr">
        <is>
          <t>October</t>
        </is>
      </c>
      <c r="E20" t="n">
        <v>75863</v>
      </c>
    </row>
    <row r="21">
      <c r="D21" s="2" t="inlineStr">
        <is>
          <t>November</t>
        </is>
      </c>
      <c r="E21" t="n">
        <v>65195</v>
      </c>
    </row>
    <row r="22">
      <c r="D22" s="2" t="inlineStr">
        <is>
          <t>December</t>
        </is>
      </c>
      <c r="E22" t="n">
        <v>79181</v>
      </c>
    </row>
    <row r="23">
      <c r="D23" s="2" t="inlineStr">
        <is>
          <t>Grand Total</t>
        </is>
      </c>
      <c r="E23" t="n">
        <v>812043</v>
      </c>
    </row>
    <row r="30">
      <c r="D30" s="17" t="inlineStr">
        <is>
          <t>Row Labels</t>
        </is>
      </c>
      <c r="E30" t="inlineStr">
        <is>
          <t>Sum of Quantity Sold</t>
        </is>
      </c>
    </row>
    <row r="31">
      <c r="D31" s="2" t="inlineStr">
        <is>
          <t>January</t>
        </is>
      </c>
      <c r="E31" t="n">
        <v>49781</v>
      </c>
    </row>
    <row r="32">
      <c r="D32" s="2" t="inlineStr">
        <is>
          <t>February</t>
        </is>
      </c>
      <c r="E32" t="n">
        <v>57900</v>
      </c>
    </row>
    <row r="33">
      <c r="D33" s="2" t="inlineStr">
        <is>
          <t>March</t>
        </is>
      </c>
      <c r="E33" t="n">
        <v>39443</v>
      </c>
    </row>
    <row r="34">
      <c r="D34" s="2" t="inlineStr">
        <is>
          <t>April</t>
        </is>
      </c>
      <c r="E34" t="n">
        <v>45418</v>
      </c>
    </row>
    <row r="35">
      <c r="D35" s="2" t="inlineStr">
        <is>
          <t>May</t>
        </is>
      </c>
      <c r="E35" t="n">
        <v>62241</v>
      </c>
    </row>
    <row r="36">
      <c r="D36" s="2" t="inlineStr">
        <is>
          <t>June</t>
        </is>
      </c>
      <c r="E36" t="n">
        <v>62355</v>
      </c>
    </row>
    <row r="37">
      <c r="D37" s="2" t="inlineStr">
        <is>
          <t>July</t>
        </is>
      </c>
      <c r="E37" t="n">
        <v>45464</v>
      </c>
    </row>
    <row r="38">
      <c r="D38" s="2" t="inlineStr">
        <is>
          <t>August</t>
        </is>
      </c>
      <c r="E38" t="n">
        <v>68283</v>
      </c>
    </row>
    <row r="39">
      <c r="D39" s="2" t="inlineStr">
        <is>
          <t>September</t>
        </is>
      </c>
      <c r="E39" t="n">
        <v>34925</v>
      </c>
    </row>
    <row r="40">
      <c r="D40" s="2" t="inlineStr">
        <is>
          <t>October</t>
        </is>
      </c>
      <c r="E40" t="n">
        <v>60062</v>
      </c>
    </row>
    <row r="41">
      <c r="D41" s="2" t="inlineStr">
        <is>
          <t>November</t>
        </is>
      </c>
      <c r="E41" t="n">
        <v>53895</v>
      </c>
    </row>
    <row r="42">
      <c r="D42" s="2" t="inlineStr">
        <is>
          <t>December</t>
        </is>
      </c>
      <c r="E42" t="n">
        <v>61580</v>
      </c>
    </row>
    <row r="43">
      <c r="D43" s="2" t="inlineStr">
        <is>
          <t>Grand Total</t>
        </is>
      </c>
      <c r="E43" t="n">
        <v>641347</v>
      </c>
    </row>
    <row r="50">
      <c r="D50" s="17" t="inlineStr">
        <is>
          <t>Row Labels</t>
        </is>
      </c>
      <c r="E50" t="inlineStr">
        <is>
          <t>Sum of Revenue (Lakhs)</t>
        </is>
      </c>
    </row>
    <row r="51">
      <c r="D51" s="2" t="inlineStr">
        <is>
          <t>January</t>
        </is>
      </c>
      <c r="E51" t="n">
        <v>25029</v>
      </c>
    </row>
    <row r="52">
      <c r="D52" s="2" t="inlineStr">
        <is>
          <t>February</t>
        </is>
      </c>
      <c r="E52" t="n">
        <v>41044</v>
      </c>
    </row>
    <row r="53">
      <c r="D53" s="2" t="inlineStr">
        <is>
          <t>March</t>
        </is>
      </c>
      <c r="E53" t="n">
        <v>28278</v>
      </c>
    </row>
    <row r="54">
      <c r="D54" s="2" t="inlineStr">
        <is>
          <t>April</t>
        </is>
      </c>
      <c r="E54" t="n">
        <v>29479</v>
      </c>
    </row>
    <row r="55">
      <c r="D55" s="2" t="inlineStr">
        <is>
          <t>May</t>
        </is>
      </c>
      <c r="E55" t="n">
        <v>34016</v>
      </c>
    </row>
    <row r="56">
      <c r="D56" s="2" t="inlineStr">
        <is>
          <t>June</t>
        </is>
      </c>
      <c r="E56" t="n">
        <v>42506</v>
      </c>
    </row>
    <row r="57">
      <c r="D57" s="2" t="inlineStr">
        <is>
          <t>July</t>
        </is>
      </c>
      <c r="E57" t="n">
        <v>32163</v>
      </c>
    </row>
    <row r="58">
      <c r="D58" s="2" t="inlineStr">
        <is>
          <t>August</t>
        </is>
      </c>
      <c r="E58" t="n">
        <v>49330</v>
      </c>
    </row>
    <row r="59">
      <c r="D59" s="2" t="inlineStr">
        <is>
          <t>September</t>
        </is>
      </c>
      <c r="E59" t="n">
        <v>24997</v>
      </c>
    </row>
    <row r="60">
      <c r="D60" s="2" t="inlineStr">
        <is>
          <t>October</t>
        </is>
      </c>
      <c r="E60" t="n">
        <v>45371</v>
      </c>
    </row>
    <row r="61">
      <c r="D61" s="2" t="inlineStr">
        <is>
          <t>November</t>
        </is>
      </c>
      <c r="E61" t="n">
        <v>36336</v>
      </c>
    </row>
    <row r="62">
      <c r="D62" s="2" t="inlineStr">
        <is>
          <t>December</t>
        </is>
      </c>
      <c r="E62" t="n">
        <v>42936</v>
      </c>
    </row>
    <row r="63">
      <c r="D63" s="2" t="inlineStr">
        <is>
          <t>Grand Total</t>
        </is>
      </c>
      <c r="E63" t="n">
        <v>431485</v>
      </c>
    </row>
    <row r="68" ht="21" customHeight="1" s="18">
      <c r="D68" s="42" t="inlineStr">
        <is>
          <t>Insights</t>
        </is>
      </c>
      <c r="F68" s="36" t="inlineStr">
        <is>
          <t>* August recorded the highest production, sales, and revenue.</t>
        </is>
      </c>
      <c r="G68" s="36" t="n"/>
      <c r="H68" s="36" t="n"/>
      <c r="I68" s="36" t="n"/>
      <c r="J68" s="36" t="n"/>
      <c r="K68" s="36" t="n"/>
      <c r="L68" s="36" t="n"/>
      <c r="M68" s="36" t="n"/>
      <c r="N68" s="36" t="n"/>
      <c r="O68" s="34" t="n"/>
      <c r="P68" s="35" t="n"/>
      <c r="Q68" s="35" t="n"/>
    </row>
    <row r="69" ht="21" customHeight="1" s="18">
      <c r="F69" s="36" t="inlineStr">
        <is>
          <t>* September showed the lowest business performance across all metrics.</t>
        </is>
      </c>
      <c r="G69" s="36" t="n"/>
      <c r="H69" s="36" t="n"/>
      <c r="I69" s="36" t="n"/>
      <c r="J69" s="36" t="n"/>
      <c r="K69" s="36" t="n"/>
      <c r="L69" s="36" t="n"/>
      <c r="M69" s="36" t="n"/>
      <c r="N69" s="36" t="n"/>
      <c r="O69" s="34" t="n"/>
      <c r="P69" s="35" t="n"/>
      <c r="Q69" s="35" t="n"/>
    </row>
    <row r="70" ht="21" customHeight="1" s="18">
      <c r="F70" s="36" t="inlineStr">
        <is>
          <t>* Production and sales trends are closely aligned throughout the year.</t>
        </is>
      </c>
      <c r="G70" s="36" t="n"/>
      <c r="H70" s="36" t="n"/>
      <c r="I70" s="36" t="n"/>
      <c r="J70" s="36" t="n"/>
      <c r="K70" s="36" t="n"/>
      <c r="L70" s="36" t="n"/>
      <c r="M70" s="36" t="n"/>
      <c r="N70" s="36" t="n"/>
      <c r="O70" s="34" t="n"/>
      <c r="P70" s="35" t="n"/>
      <c r="Q70" s="35" t="n"/>
    </row>
    <row r="71" ht="21" customHeight="1" s="18">
      <c r="F71" s="36" t="inlineStr">
        <is>
          <t>* The second half of the year contributed more strongly to overall business growth.</t>
        </is>
      </c>
      <c r="G71" s="36" t="n"/>
      <c r="H71" s="36" t="n"/>
      <c r="I71" s="36" t="n"/>
      <c r="J71" s="36" t="n"/>
      <c r="K71" s="36" t="n"/>
      <c r="L71" s="36" t="n"/>
      <c r="M71" s="36" t="n"/>
      <c r="N71" s="36" t="n"/>
      <c r="O71" s="34" t="n"/>
      <c r="P71" s="35" t="n"/>
      <c r="Q71" s="35" t="n"/>
    </row>
  </sheetData>
  <mergeCells count="7">
    <mergeCell ref="C2:E2"/>
    <mergeCell ref="D68:E71"/>
    <mergeCell ref="M3:P3"/>
    <mergeCell ref="C3:E3"/>
    <mergeCell ref="M2:P2"/>
    <mergeCell ref="H2:J2"/>
    <mergeCell ref="H3:J3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2026-06-23T07:49:48Z</dcterms:created>
  <dcterms:modified xmlns:dcterms="http://purl.org/dc/terms/" xmlns:xsi="http://www.w3.org/2001/XMLSchema-instance" xsi:type="dcterms:W3CDTF">2026-09-11T07:12:24Z</dcterms:modified>
  <cp:lastModifiedBy>Guru Moorthi</cp:lastModifiedBy>
</cp:coreProperties>
</file>